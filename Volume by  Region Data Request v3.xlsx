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All Folders\Power BI\Excel Project Dataset\"/>
    </mc:Choice>
  </mc:AlternateContent>
  <xr:revisionPtr revIDLastSave="0" documentId="13_ncr:1_{D7D65B31-CB64-49C9-9337-7C4EFD471557}" xr6:coauthVersionLast="47" xr6:coauthVersionMax="47" xr10:uidLastSave="{00000000-0000-0000-0000-000000000000}"/>
  <bookViews>
    <workbookView xWindow="-120" yWindow="-120" windowWidth="20730" windowHeight="11160" tabRatio="458" firstSheet="3" activeTab="4" xr2:uid="{00000000-000D-0000-FFFF-FFFF00000000}"/>
  </bookViews>
  <sheets>
    <sheet name="Email" sheetId="73" r:id="rId1"/>
    <sheet name="Pivot" sheetId="82" r:id="rId2"/>
    <sheet name="Summary" sheetId="83" r:id="rId3"/>
    <sheet name="Volume Data" sheetId="72" r:id="rId4"/>
    <sheet name="Geo Data" sheetId="71" r:id="rId5"/>
  </sheets>
  <definedNames>
    <definedName name="_xlnm._FilterDatabase" localSheetId="3" hidden="1">'Volume Data'!$K$1:$K$908</definedName>
  </definedNames>
  <calcPr calcId="181029"/>
  <pivotCaches>
    <pivotCache cacheId="0" r:id="rId6"/>
  </pivotCaches>
  <extLst>
    <ext xmlns:x15="http://schemas.microsoft.com/office/spreadsheetml/2010/11/main" uri="{FCE2AD5D-F65C-4FA6-A056-5C36A1767C68}">
      <x15:dataModel>
        <x15:modelTables>
          <x15:modelTable id="Table5_1caa84d4-627a-467d-8d94-702909f12bbd" name="Table5" connection="Query - Table5"/>
        </x15:modelTables>
      </x15:dataModel>
    </ext>
  </extLst>
</workbook>
</file>

<file path=xl/calcChain.xml><?xml version="1.0" encoding="utf-8"?>
<calcChain xmlns="http://schemas.openxmlformats.org/spreadsheetml/2006/main">
  <c r="K48" i="83" l="1"/>
  <c r="J48" i="83"/>
  <c r="J47" i="83"/>
  <c r="B5" i="83"/>
  <c r="B8" i="83"/>
  <c r="H36" i="83"/>
  <c r="G36" i="83"/>
  <c r="F36" i="83"/>
  <c r="E36" i="83"/>
  <c r="D36" i="83"/>
  <c r="C36" i="83"/>
  <c r="H35" i="83"/>
  <c r="G35" i="83"/>
  <c r="F35" i="83"/>
  <c r="E35" i="83"/>
  <c r="D35" i="83"/>
  <c r="C35" i="83"/>
  <c r="H34" i="83"/>
  <c r="G34" i="83"/>
  <c r="F34" i="83"/>
  <c r="E34" i="83"/>
  <c r="D34" i="83"/>
  <c r="C34" i="83"/>
  <c r="H33" i="83"/>
  <c r="G33" i="83"/>
  <c r="F33" i="83"/>
  <c r="E33" i="83"/>
  <c r="D33" i="83"/>
  <c r="K36" i="83"/>
  <c r="C33" i="83"/>
  <c r="H28" i="83"/>
  <c r="H44" i="83" s="1"/>
  <c r="G28" i="83"/>
  <c r="F28" i="83"/>
  <c r="E28" i="83"/>
  <c r="D28" i="83"/>
  <c r="D44" i="83" s="1"/>
  <c r="C28" i="83"/>
  <c r="C44" i="83" s="1"/>
  <c r="H27" i="83"/>
  <c r="H43" i="83" s="1"/>
  <c r="G27" i="83"/>
  <c r="G43" i="83" s="1"/>
  <c r="F27" i="83"/>
  <c r="F43" i="83" s="1"/>
  <c r="E27" i="83"/>
  <c r="D27" i="83"/>
  <c r="C27" i="83"/>
  <c r="H26" i="83"/>
  <c r="H42" i="83" s="1"/>
  <c r="G26" i="83"/>
  <c r="G42" i="83" s="1"/>
  <c r="F26" i="83"/>
  <c r="F42" i="83" s="1"/>
  <c r="E26" i="83"/>
  <c r="E42" i="83" s="1"/>
  <c r="D26" i="83"/>
  <c r="D42" i="83" s="1"/>
  <c r="C26" i="83"/>
  <c r="H25" i="83"/>
  <c r="G25" i="83"/>
  <c r="F25" i="83"/>
  <c r="E25" i="83"/>
  <c r="E41" i="83" s="1"/>
  <c r="D25" i="83"/>
  <c r="C25" i="83"/>
  <c r="C41" i="83" s="1"/>
  <c r="I135" i="82"/>
  <c r="J135" i="82" s="1"/>
  <c r="I134" i="82"/>
  <c r="J134" i="82" s="1"/>
  <c r="I133" i="82"/>
  <c r="I132" i="82"/>
  <c r="J132" i="82" s="1"/>
  <c r="D133" i="82"/>
  <c r="D134" i="82"/>
  <c r="D135" i="82"/>
  <c r="D132" i="82"/>
  <c r="L56" i="82"/>
  <c r="L57" i="82"/>
  <c r="L55" i="82"/>
  <c r="L77" i="82"/>
  <c r="L78" i="82"/>
  <c r="L76" i="82"/>
  <c r="L89" i="82"/>
  <c r="L86" i="82"/>
  <c r="L87" i="82"/>
  <c r="L88" i="82"/>
  <c r="L85" i="82"/>
  <c r="L101" i="82"/>
  <c r="L102" i="82"/>
  <c r="L103" i="82"/>
  <c r="L100" i="82"/>
  <c r="D117" i="82"/>
  <c r="K117" i="82" s="1"/>
  <c r="E117" i="82"/>
  <c r="E125" i="82" s="1"/>
  <c r="F117" i="82"/>
  <c r="F125" i="82" s="1"/>
  <c r="H117" i="82"/>
  <c r="H125" i="82" s="1"/>
  <c r="I117" i="82"/>
  <c r="I125" i="82" s="1"/>
  <c r="D118" i="82"/>
  <c r="D126" i="82" s="1"/>
  <c r="E118" i="82"/>
  <c r="E126" i="82" s="1"/>
  <c r="F118" i="82"/>
  <c r="F126" i="82" s="1"/>
  <c r="H118" i="82"/>
  <c r="H126" i="82" s="1"/>
  <c r="I118" i="82"/>
  <c r="I126" i="82" s="1"/>
  <c r="D119" i="82"/>
  <c r="D127" i="82" s="1"/>
  <c r="E119" i="82"/>
  <c r="E127" i="82" s="1"/>
  <c r="F119" i="82"/>
  <c r="F127" i="82" s="1"/>
  <c r="H119" i="82"/>
  <c r="H127" i="82" s="1"/>
  <c r="I119" i="82"/>
  <c r="I127" i="82" s="1"/>
  <c r="D120" i="82"/>
  <c r="D128" i="82" s="1"/>
  <c r="E120" i="82"/>
  <c r="E128" i="82" s="1"/>
  <c r="F120" i="82"/>
  <c r="F128" i="82" s="1"/>
  <c r="H120" i="82"/>
  <c r="H128" i="82" s="1"/>
  <c r="I120" i="82"/>
  <c r="K120" i="82" s="1"/>
  <c r="C118" i="82"/>
  <c r="C126" i="82" s="1"/>
  <c r="C119" i="82"/>
  <c r="C127" i="82" s="1"/>
  <c r="C120" i="82"/>
  <c r="C128" i="82" s="1"/>
  <c r="C117" i="82"/>
  <c r="M43" i="82"/>
  <c r="N43" i="82"/>
  <c r="M44" i="82"/>
  <c r="N44" i="82"/>
  <c r="M45" i="82"/>
  <c r="N45" i="82"/>
  <c r="M46" i="82"/>
  <c r="N46" i="82"/>
  <c r="N42" i="82"/>
  <c r="M42" i="82"/>
  <c r="J43" i="82"/>
  <c r="K43" i="82"/>
  <c r="P43" i="82" s="1"/>
  <c r="J44" i="82"/>
  <c r="K44" i="82"/>
  <c r="P44" i="82" s="1"/>
  <c r="J45" i="82"/>
  <c r="K45" i="82"/>
  <c r="P45" i="82" s="1"/>
  <c r="R45" i="82" s="1"/>
  <c r="J46" i="82"/>
  <c r="K46" i="82"/>
  <c r="P46" i="82" s="1"/>
  <c r="Q46" i="82" s="1"/>
  <c r="K42" i="82"/>
  <c r="P42" i="82" s="1"/>
  <c r="J42" i="82"/>
  <c r="G54" i="71"/>
  <c r="G53" i="71"/>
  <c r="G52" i="71"/>
  <c r="G51" i="71"/>
  <c r="G50" i="71"/>
  <c r="G49" i="71"/>
  <c r="G48" i="71"/>
  <c r="G47" i="71"/>
  <c r="G46" i="71"/>
  <c r="G45" i="71"/>
  <c r="G44" i="71"/>
  <c r="G43" i="71"/>
  <c r="G42" i="71"/>
  <c r="G41" i="71"/>
  <c r="G40" i="71"/>
  <c r="G39" i="71"/>
  <c r="G38" i="71"/>
  <c r="G37" i="71"/>
  <c r="G36" i="71"/>
  <c r="G35" i="71"/>
  <c r="G34" i="71"/>
  <c r="G33" i="71"/>
  <c r="G32" i="71"/>
  <c r="G31" i="71"/>
  <c r="G30" i="71"/>
  <c r="G29" i="71"/>
  <c r="G28" i="71"/>
  <c r="G27" i="71"/>
  <c r="G26" i="71"/>
  <c r="G25" i="71"/>
  <c r="G24" i="71"/>
  <c r="G23" i="71"/>
  <c r="G22" i="71"/>
  <c r="G21" i="71"/>
  <c r="G20" i="71"/>
  <c r="G19" i="71"/>
  <c r="G18" i="71"/>
  <c r="G17" i="71"/>
  <c r="G16" i="71"/>
  <c r="G15" i="71"/>
  <c r="G14" i="71"/>
  <c r="G13" i="71"/>
  <c r="G12" i="71"/>
  <c r="G11" i="71"/>
  <c r="G10" i="71"/>
  <c r="G9" i="71"/>
  <c r="G8" i="71"/>
  <c r="G7" i="71"/>
  <c r="G6" i="71"/>
  <c r="G5" i="71"/>
  <c r="G4" i="71"/>
  <c r="G3" i="71"/>
  <c r="G2" i="71"/>
  <c r="I2" i="72"/>
  <c r="I3" i="72"/>
  <c r="I4" i="72"/>
  <c r="I5" i="72"/>
  <c r="I6" i="72"/>
  <c r="I7" i="72"/>
  <c r="I8" i="72"/>
  <c r="I9" i="72"/>
  <c r="I10" i="72"/>
  <c r="I11" i="72"/>
  <c r="I12" i="72"/>
  <c r="I13" i="72"/>
  <c r="I14" i="72"/>
  <c r="I15" i="72"/>
  <c r="I16" i="72"/>
  <c r="I17" i="72"/>
  <c r="I18" i="72"/>
  <c r="I19" i="72"/>
  <c r="I20" i="72"/>
  <c r="I21" i="72"/>
  <c r="I22" i="72"/>
  <c r="I23" i="72"/>
  <c r="I24" i="72"/>
  <c r="I25" i="72"/>
  <c r="I26" i="72"/>
  <c r="I27" i="72"/>
  <c r="I28" i="72"/>
  <c r="I29" i="72"/>
  <c r="I30" i="72"/>
  <c r="I31" i="72"/>
  <c r="I32" i="72"/>
  <c r="I33" i="72"/>
  <c r="I34" i="72"/>
  <c r="I35" i="72"/>
  <c r="I36" i="72"/>
  <c r="I37" i="72"/>
  <c r="I38" i="72"/>
  <c r="I39" i="72"/>
  <c r="I40" i="72"/>
  <c r="I41" i="72"/>
  <c r="I42" i="72"/>
  <c r="I43" i="72"/>
  <c r="I44" i="72"/>
  <c r="I45" i="72"/>
  <c r="I46" i="72"/>
  <c r="I47" i="72"/>
  <c r="I48" i="72"/>
  <c r="I49" i="72"/>
  <c r="I50" i="72"/>
  <c r="I51" i="72"/>
  <c r="I52" i="72"/>
  <c r="I53" i="72"/>
  <c r="I54" i="72"/>
  <c r="I55" i="72"/>
  <c r="I56" i="72"/>
  <c r="I57" i="72"/>
  <c r="I58" i="72"/>
  <c r="I59" i="72"/>
  <c r="I60" i="72"/>
  <c r="I61" i="72"/>
  <c r="I62" i="72"/>
  <c r="I63" i="72"/>
  <c r="I64" i="72"/>
  <c r="I65" i="72"/>
  <c r="I66" i="72"/>
  <c r="I67" i="72"/>
  <c r="I68" i="72"/>
  <c r="I69" i="72"/>
  <c r="I70" i="72"/>
  <c r="I71" i="72"/>
  <c r="I72" i="72"/>
  <c r="I73" i="72"/>
  <c r="I74" i="72"/>
  <c r="I75" i="72"/>
  <c r="I76" i="72"/>
  <c r="I77" i="72"/>
  <c r="I78" i="72"/>
  <c r="I79" i="72"/>
  <c r="I80" i="72"/>
  <c r="I81" i="72"/>
  <c r="I82" i="72"/>
  <c r="I83" i="72"/>
  <c r="I84" i="72"/>
  <c r="I85" i="72"/>
  <c r="I86" i="72"/>
  <c r="I87" i="72"/>
  <c r="I88" i="72"/>
  <c r="I89" i="72"/>
  <c r="I90" i="72"/>
  <c r="I91" i="72"/>
  <c r="I92" i="72"/>
  <c r="I93" i="72"/>
  <c r="I94" i="72"/>
  <c r="I95" i="72"/>
  <c r="I96" i="72"/>
  <c r="I97" i="72"/>
  <c r="I98" i="72"/>
  <c r="I99" i="72"/>
  <c r="I100" i="72"/>
  <c r="I101" i="72"/>
  <c r="I102" i="72"/>
  <c r="I103" i="72"/>
  <c r="I104" i="72"/>
  <c r="I105" i="72"/>
  <c r="I106" i="72"/>
  <c r="I107" i="72"/>
  <c r="I108" i="72"/>
  <c r="I109" i="72"/>
  <c r="I110" i="72"/>
  <c r="I111" i="72"/>
  <c r="I112" i="72"/>
  <c r="I113" i="72"/>
  <c r="I114" i="72"/>
  <c r="I115" i="72"/>
  <c r="I116" i="72"/>
  <c r="I117" i="72"/>
  <c r="I118" i="72"/>
  <c r="I119" i="72"/>
  <c r="I120" i="72"/>
  <c r="I121" i="72"/>
  <c r="I122" i="72"/>
  <c r="I123" i="72"/>
  <c r="I124" i="72"/>
  <c r="I125" i="72"/>
  <c r="I126" i="72"/>
  <c r="I127" i="72"/>
  <c r="I128" i="72"/>
  <c r="I129" i="72"/>
  <c r="I130" i="72"/>
  <c r="I131" i="72"/>
  <c r="I132" i="72"/>
  <c r="I133" i="72"/>
  <c r="I134" i="72"/>
  <c r="I135" i="72"/>
  <c r="I136" i="72"/>
  <c r="I137" i="72"/>
  <c r="I138" i="72"/>
  <c r="I139" i="72"/>
  <c r="I140" i="72"/>
  <c r="I141" i="72"/>
  <c r="I142" i="72"/>
  <c r="I143" i="72"/>
  <c r="I144" i="72"/>
  <c r="I145" i="72"/>
  <c r="I146" i="72"/>
  <c r="I147" i="72"/>
  <c r="I148" i="72"/>
  <c r="I149" i="72"/>
  <c r="I150" i="72"/>
  <c r="I151" i="72"/>
  <c r="I152" i="72"/>
  <c r="I153" i="72"/>
  <c r="I154" i="72"/>
  <c r="I155" i="72"/>
  <c r="I156" i="72"/>
  <c r="I157" i="72"/>
  <c r="I158" i="72"/>
  <c r="I159" i="72"/>
  <c r="I160" i="72"/>
  <c r="I161" i="72"/>
  <c r="I162" i="72"/>
  <c r="I163" i="72"/>
  <c r="I164" i="72"/>
  <c r="I165" i="72"/>
  <c r="I166" i="72"/>
  <c r="I167" i="72"/>
  <c r="I168" i="72"/>
  <c r="I169" i="72"/>
  <c r="I170" i="72"/>
  <c r="I171" i="72"/>
  <c r="I172" i="72"/>
  <c r="I173" i="72"/>
  <c r="I174" i="72"/>
  <c r="I175" i="72"/>
  <c r="I176" i="72"/>
  <c r="I177" i="72"/>
  <c r="I178" i="72"/>
  <c r="I179" i="72"/>
  <c r="I180" i="72"/>
  <c r="I181" i="72"/>
  <c r="I182" i="72"/>
  <c r="I183" i="72"/>
  <c r="I184" i="72"/>
  <c r="I185" i="72"/>
  <c r="I186" i="72"/>
  <c r="I187" i="72"/>
  <c r="I188" i="72"/>
  <c r="I189" i="72"/>
  <c r="I190" i="72"/>
  <c r="I191" i="72"/>
  <c r="I192" i="72"/>
  <c r="I193" i="72"/>
  <c r="I194" i="72"/>
  <c r="I195" i="72"/>
  <c r="I196" i="72"/>
  <c r="I197" i="72"/>
  <c r="I198" i="72"/>
  <c r="I199" i="72"/>
  <c r="I200" i="72"/>
  <c r="I201" i="72"/>
  <c r="I202" i="72"/>
  <c r="I203" i="72"/>
  <c r="I204" i="72"/>
  <c r="I205" i="72"/>
  <c r="I206" i="72"/>
  <c r="I207" i="72"/>
  <c r="I208" i="72"/>
  <c r="I209" i="72"/>
  <c r="I210" i="72"/>
  <c r="I211" i="72"/>
  <c r="I212" i="72"/>
  <c r="I213" i="72"/>
  <c r="I214" i="72"/>
  <c r="I215" i="72"/>
  <c r="I216" i="72"/>
  <c r="I217" i="72"/>
  <c r="I218" i="72"/>
  <c r="I219" i="72"/>
  <c r="I220" i="72"/>
  <c r="I221" i="72"/>
  <c r="I222" i="72"/>
  <c r="I223" i="72"/>
  <c r="I224" i="72"/>
  <c r="I225" i="72"/>
  <c r="I226" i="72"/>
  <c r="I227" i="72"/>
  <c r="I228" i="72"/>
  <c r="I229" i="72"/>
  <c r="I230" i="72"/>
  <c r="I231" i="72"/>
  <c r="I232" i="72"/>
  <c r="I233" i="72"/>
  <c r="I234" i="72"/>
  <c r="I235" i="72"/>
  <c r="I236" i="72"/>
  <c r="I237" i="72"/>
  <c r="I238" i="72"/>
  <c r="I239" i="72"/>
  <c r="I240" i="72"/>
  <c r="I241" i="72"/>
  <c r="I242" i="72"/>
  <c r="I243" i="72"/>
  <c r="I244" i="72"/>
  <c r="I245" i="72"/>
  <c r="I246" i="72"/>
  <c r="I247" i="72"/>
  <c r="I248" i="72"/>
  <c r="I249" i="72"/>
  <c r="I250" i="72"/>
  <c r="I251" i="72"/>
  <c r="I252" i="72"/>
  <c r="I253" i="72"/>
  <c r="I254" i="72"/>
  <c r="I255" i="72"/>
  <c r="I256" i="72"/>
  <c r="I257" i="72"/>
  <c r="I258" i="72"/>
  <c r="I259" i="72"/>
  <c r="I260" i="72"/>
  <c r="I261" i="72"/>
  <c r="I262" i="72"/>
  <c r="I263" i="72"/>
  <c r="I264" i="72"/>
  <c r="I265" i="72"/>
  <c r="I266" i="72"/>
  <c r="I267" i="72"/>
  <c r="I268" i="72"/>
  <c r="I269" i="72"/>
  <c r="I270" i="72"/>
  <c r="I271" i="72"/>
  <c r="I272" i="72"/>
  <c r="I273" i="72"/>
  <c r="I274" i="72"/>
  <c r="I275" i="72"/>
  <c r="I276" i="72"/>
  <c r="I277" i="72"/>
  <c r="I278" i="72"/>
  <c r="I279" i="72"/>
  <c r="I280" i="72"/>
  <c r="I281" i="72"/>
  <c r="I282" i="72"/>
  <c r="I283" i="72"/>
  <c r="I284" i="72"/>
  <c r="I285" i="72"/>
  <c r="I286" i="72"/>
  <c r="I287" i="72"/>
  <c r="I288" i="72"/>
  <c r="I289" i="72"/>
  <c r="I290" i="72"/>
  <c r="I291" i="72"/>
  <c r="I292" i="72"/>
  <c r="I293" i="72"/>
  <c r="I294" i="72"/>
  <c r="I295" i="72"/>
  <c r="I296" i="72"/>
  <c r="I297" i="72"/>
  <c r="I298" i="72"/>
  <c r="I299" i="72"/>
  <c r="I300" i="72"/>
  <c r="I301" i="72"/>
  <c r="I302" i="72"/>
  <c r="I303" i="72"/>
  <c r="I304" i="72"/>
  <c r="I305" i="72"/>
  <c r="I306" i="72"/>
  <c r="I307" i="72"/>
  <c r="I308" i="72"/>
  <c r="I309" i="72"/>
  <c r="I310" i="72"/>
  <c r="I311" i="72"/>
  <c r="I312" i="72"/>
  <c r="I313" i="72"/>
  <c r="I314" i="72"/>
  <c r="I315" i="72"/>
  <c r="I316" i="72"/>
  <c r="I317" i="72"/>
  <c r="I318" i="72"/>
  <c r="I319" i="72"/>
  <c r="I320" i="72"/>
  <c r="I321" i="72"/>
  <c r="I322" i="72"/>
  <c r="I323" i="72"/>
  <c r="I324" i="72"/>
  <c r="I325" i="72"/>
  <c r="I326" i="72"/>
  <c r="I327" i="72"/>
  <c r="I328" i="72"/>
  <c r="I329" i="72"/>
  <c r="I330" i="72"/>
  <c r="I331" i="72"/>
  <c r="I332" i="72"/>
  <c r="I333" i="72"/>
  <c r="I334" i="72"/>
  <c r="I335" i="72"/>
  <c r="I336" i="72"/>
  <c r="I337" i="72"/>
  <c r="I338" i="72"/>
  <c r="I339" i="72"/>
  <c r="I340" i="72"/>
  <c r="I341" i="72"/>
  <c r="I342" i="72"/>
  <c r="I343" i="72"/>
  <c r="I344" i="72"/>
  <c r="I345" i="72"/>
  <c r="I346" i="72"/>
  <c r="I347" i="72"/>
  <c r="I348" i="72"/>
  <c r="I349" i="72"/>
  <c r="I350" i="72"/>
  <c r="I351" i="72"/>
  <c r="I352" i="72"/>
  <c r="I353" i="72"/>
  <c r="I354" i="72"/>
  <c r="I355" i="72"/>
  <c r="I356" i="72"/>
  <c r="I357" i="72"/>
  <c r="I358" i="72"/>
  <c r="I359" i="72"/>
  <c r="I360" i="72"/>
  <c r="I361" i="72"/>
  <c r="I362" i="72"/>
  <c r="I363" i="72"/>
  <c r="I364" i="72"/>
  <c r="I365" i="72"/>
  <c r="I366" i="72"/>
  <c r="I367" i="72"/>
  <c r="I368" i="72"/>
  <c r="I369" i="72"/>
  <c r="I370" i="72"/>
  <c r="I371" i="72"/>
  <c r="I372" i="72"/>
  <c r="I373" i="72"/>
  <c r="I374" i="72"/>
  <c r="I375" i="72"/>
  <c r="I376" i="72"/>
  <c r="I377" i="72"/>
  <c r="I378" i="72"/>
  <c r="I379" i="72"/>
  <c r="I380" i="72"/>
  <c r="I381" i="72"/>
  <c r="I382" i="72"/>
  <c r="I383" i="72"/>
  <c r="I384" i="72"/>
  <c r="I385" i="72"/>
  <c r="I386" i="72"/>
  <c r="I387" i="72"/>
  <c r="I388" i="72"/>
  <c r="I389" i="72"/>
  <c r="I390" i="72"/>
  <c r="I391" i="72"/>
  <c r="I392" i="72"/>
  <c r="I393" i="72"/>
  <c r="I394" i="72"/>
  <c r="I395" i="72"/>
  <c r="I396" i="72"/>
  <c r="I397" i="72"/>
  <c r="I398" i="72"/>
  <c r="I399" i="72"/>
  <c r="I400" i="72"/>
  <c r="I401" i="72"/>
  <c r="I402" i="72"/>
  <c r="I403" i="72"/>
  <c r="I404" i="72"/>
  <c r="I405" i="72"/>
  <c r="I406" i="72"/>
  <c r="I407" i="72"/>
  <c r="I408" i="72"/>
  <c r="I409" i="72"/>
  <c r="I410" i="72"/>
  <c r="I411" i="72"/>
  <c r="I412" i="72"/>
  <c r="I413" i="72"/>
  <c r="I414" i="72"/>
  <c r="I415" i="72"/>
  <c r="I416" i="72"/>
  <c r="I417" i="72"/>
  <c r="I418" i="72"/>
  <c r="I419" i="72"/>
  <c r="I420" i="72"/>
  <c r="I421" i="72"/>
  <c r="I422" i="72"/>
  <c r="I423" i="72"/>
  <c r="I424" i="72"/>
  <c r="I425" i="72"/>
  <c r="I426" i="72"/>
  <c r="I427" i="72"/>
  <c r="I428" i="72"/>
  <c r="I429" i="72"/>
  <c r="I430" i="72"/>
  <c r="I431" i="72"/>
  <c r="I432" i="72"/>
  <c r="I433" i="72"/>
  <c r="I434" i="72"/>
  <c r="I435" i="72"/>
  <c r="I436" i="72"/>
  <c r="I437" i="72"/>
  <c r="I438" i="72"/>
  <c r="I439" i="72"/>
  <c r="I440" i="72"/>
  <c r="I441" i="72"/>
  <c r="I442" i="72"/>
  <c r="I443" i="72"/>
  <c r="I444" i="72"/>
  <c r="I445" i="72"/>
  <c r="I446" i="72"/>
  <c r="I447" i="72"/>
  <c r="I448" i="72"/>
  <c r="I449" i="72"/>
  <c r="I450" i="72"/>
  <c r="I451" i="72"/>
  <c r="I452" i="72"/>
  <c r="I453" i="72"/>
  <c r="I454" i="72"/>
  <c r="I455" i="72"/>
  <c r="I456" i="72"/>
  <c r="I457" i="72"/>
  <c r="I458" i="72"/>
  <c r="I459" i="72"/>
  <c r="I460" i="72"/>
  <c r="I461" i="72"/>
  <c r="I462" i="72"/>
  <c r="I463" i="72"/>
  <c r="I464" i="72"/>
  <c r="I465" i="72"/>
  <c r="I466" i="72"/>
  <c r="I467" i="72"/>
  <c r="I468" i="72"/>
  <c r="I469" i="72"/>
  <c r="I470" i="72"/>
  <c r="I471" i="72"/>
  <c r="I472" i="72"/>
  <c r="I473" i="72"/>
  <c r="I474" i="72"/>
  <c r="I475" i="72"/>
  <c r="I476" i="72"/>
  <c r="I477" i="72"/>
  <c r="I478" i="72"/>
  <c r="I479" i="72"/>
  <c r="I480" i="72"/>
  <c r="I481" i="72"/>
  <c r="I482" i="72"/>
  <c r="I483" i="72"/>
  <c r="I484" i="72"/>
  <c r="I485" i="72"/>
  <c r="I486" i="72"/>
  <c r="I487" i="72"/>
  <c r="I488" i="72"/>
  <c r="I489" i="72"/>
  <c r="I490" i="72"/>
  <c r="I491" i="72"/>
  <c r="I492" i="72"/>
  <c r="I493" i="72"/>
  <c r="I494" i="72"/>
  <c r="I495" i="72"/>
  <c r="I496" i="72"/>
  <c r="I497" i="72"/>
  <c r="I498" i="72"/>
  <c r="I499" i="72"/>
  <c r="I500" i="72"/>
  <c r="I501" i="72"/>
  <c r="I502" i="72"/>
  <c r="I503" i="72"/>
  <c r="I504" i="72"/>
  <c r="I505" i="72"/>
  <c r="I506" i="72"/>
  <c r="I507" i="72"/>
  <c r="I508" i="72"/>
  <c r="I509" i="72"/>
  <c r="I510" i="72"/>
  <c r="I511" i="72"/>
  <c r="I512" i="72"/>
  <c r="I513" i="72"/>
  <c r="I514" i="72"/>
  <c r="I515" i="72"/>
  <c r="I516" i="72"/>
  <c r="I517" i="72"/>
  <c r="I518" i="72"/>
  <c r="I519" i="72"/>
  <c r="I520" i="72"/>
  <c r="I521" i="72"/>
  <c r="I522" i="72"/>
  <c r="I523" i="72"/>
  <c r="I524" i="72"/>
  <c r="I525" i="72"/>
  <c r="I526" i="72"/>
  <c r="I527" i="72"/>
  <c r="I528" i="72"/>
  <c r="I529" i="72"/>
  <c r="I530" i="72"/>
  <c r="I531" i="72"/>
  <c r="I532" i="72"/>
  <c r="I533" i="72"/>
  <c r="I534" i="72"/>
  <c r="I535" i="72"/>
  <c r="I536" i="72"/>
  <c r="I537" i="72"/>
  <c r="I538" i="72"/>
  <c r="I539" i="72"/>
  <c r="I540" i="72"/>
  <c r="I541" i="72"/>
  <c r="I542" i="72"/>
  <c r="I543" i="72"/>
  <c r="I544" i="72"/>
  <c r="I545" i="72"/>
  <c r="I546" i="72"/>
  <c r="I547" i="72"/>
  <c r="I548" i="72"/>
  <c r="I549" i="72"/>
  <c r="I550" i="72"/>
  <c r="I551" i="72"/>
  <c r="I552" i="72"/>
  <c r="I553" i="72"/>
  <c r="I554" i="72"/>
  <c r="I555" i="72"/>
  <c r="I556" i="72"/>
  <c r="I557" i="72"/>
  <c r="I558" i="72"/>
  <c r="I559" i="72"/>
  <c r="I560" i="72"/>
  <c r="I561" i="72"/>
  <c r="I562" i="72"/>
  <c r="I563" i="72"/>
  <c r="I564" i="72"/>
  <c r="I565" i="72"/>
  <c r="I566" i="72"/>
  <c r="I567" i="72"/>
  <c r="I568" i="72"/>
  <c r="I569" i="72"/>
  <c r="I570" i="72"/>
  <c r="I571" i="72"/>
  <c r="I572" i="72"/>
  <c r="I573" i="72"/>
  <c r="I574" i="72"/>
  <c r="I575" i="72"/>
  <c r="I576" i="72"/>
  <c r="I577" i="72"/>
  <c r="I578" i="72"/>
  <c r="I579" i="72"/>
  <c r="I580" i="72"/>
  <c r="I581" i="72"/>
  <c r="I582" i="72"/>
  <c r="I583" i="72"/>
  <c r="I584" i="72"/>
  <c r="I585" i="72"/>
  <c r="I586" i="72"/>
  <c r="I587" i="72"/>
  <c r="I588" i="72"/>
  <c r="I589" i="72"/>
  <c r="I590" i="72"/>
  <c r="I591" i="72"/>
  <c r="I592" i="72"/>
  <c r="I593" i="72"/>
  <c r="I594" i="72"/>
  <c r="I595" i="72"/>
  <c r="I596" i="72"/>
  <c r="I597" i="72"/>
  <c r="I598" i="72"/>
  <c r="I599" i="72"/>
  <c r="I600" i="72"/>
  <c r="I601" i="72"/>
  <c r="I602" i="72"/>
  <c r="I603" i="72"/>
  <c r="I604" i="72"/>
  <c r="I605" i="72"/>
  <c r="I606" i="72"/>
  <c r="I607" i="72"/>
  <c r="I608" i="72"/>
  <c r="I609" i="72"/>
  <c r="I610" i="72"/>
  <c r="I611" i="72"/>
  <c r="I612" i="72"/>
  <c r="I613" i="72"/>
  <c r="I614" i="72"/>
  <c r="I615" i="72"/>
  <c r="I616" i="72"/>
  <c r="I617" i="72"/>
  <c r="I618" i="72"/>
  <c r="I619" i="72"/>
  <c r="I620" i="72"/>
  <c r="I621" i="72"/>
  <c r="I622" i="72"/>
  <c r="I623" i="72"/>
  <c r="I624" i="72"/>
  <c r="I625" i="72"/>
  <c r="I626" i="72"/>
  <c r="I627" i="72"/>
  <c r="I628" i="72"/>
  <c r="I629" i="72"/>
  <c r="I630" i="72"/>
  <c r="I631" i="72"/>
  <c r="I632" i="72"/>
  <c r="I633" i="72"/>
  <c r="I634" i="72"/>
  <c r="I635" i="72"/>
  <c r="I636" i="72"/>
  <c r="I637" i="72"/>
  <c r="I638" i="72"/>
  <c r="I639" i="72"/>
  <c r="I640" i="72"/>
  <c r="I641" i="72"/>
  <c r="I642" i="72"/>
  <c r="I643" i="72"/>
  <c r="I644" i="72"/>
  <c r="I645" i="72"/>
  <c r="I646" i="72"/>
  <c r="I647" i="72"/>
  <c r="I648" i="72"/>
  <c r="I649" i="72"/>
  <c r="I650" i="72"/>
  <c r="I651" i="72"/>
  <c r="I652" i="72"/>
  <c r="I653" i="72"/>
  <c r="I654" i="72"/>
  <c r="I655" i="72"/>
  <c r="I656" i="72"/>
  <c r="I657" i="72"/>
  <c r="I658" i="72"/>
  <c r="I659" i="72"/>
  <c r="I660" i="72"/>
  <c r="I661" i="72"/>
  <c r="I662" i="72"/>
  <c r="I663" i="72"/>
  <c r="I664" i="72"/>
  <c r="I665" i="72"/>
  <c r="I666" i="72"/>
  <c r="I667" i="72"/>
  <c r="I668" i="72"/>
  <c r="I669" i="72"/>
  <c r="I670" i="72"/>
  <c r="I671" i="72"/>
  <c r="I672" i="72"/>
  <c r="I673" i="72"/>
  <c r="I674" i="72"/>
  <c r="I675" i="72"/>
  <c r="I676" i="72"/>
  <c r="I677" i="72"/>
  <c r="I678" i="72"/>
  <c r="I679" i="72"/>
  <c r="I680" i="72"/>
  <c r="I681" i="72"/>
  <c r="I682" i="72"/>
  <c r="I683" i="72"/>
  <c r="I684" i="72"/>
  <c r="I685" i="72"/>
  <c r="I686" i="72"/>
  <c r="I687" i="72"/>
  <c r="I688" i="72"/>
  <c r="I689" i="72"/>
  <c r="I690" i="72"/>
  <c r="I691" i="72"/>
  <c r="I692" i="72"/>
  <c r="I693" i="72"/>
  <c r="I694" i="72"/>
  <c r="I695" i="72"/>
  <c r="I696" i="72"/>
  <c r="I697" i="72"/>
  <c r="I698" i="72"/>
  <c r="I699" i="72"/>
  <c r="I700" i="72"/>
  <c r="I701" i="72"/>
  <c r="I702" i="72"/>
  <c r="I703" i="72"/>
  <c r="I704" i="72"/>
  <c r="I705" i="72"/>
  <c r="I706" i="72"/>
  <c r="I707" i="72"/>
  <c r="I708" i="72"/>
  <c r="I709" i="72"/>
  <c r="I710" i="72"/>
  <c r="I711" i="72"/>
  <c r="I712" i="72"/>
  <c r="I713" i="72"/>
  <c r="I714" i="72"/>
  <c r="I715" i="72"/>
  <c r="I716" i="72"/>
  <c r="I717" i="72"/>
  <c r="I718" i="72"/>
  <c r="I719" i="72"/>
  <c r="I720" i="72"/>
  <c r="I721" i="72"/>
  <c r="I722" i="72"/>
  <c r="I723" i="72"/>
  <c r="I724" i="72"/>
  <c r="I725" i="72"/>
  <c r="I726" i="72"/>
  <c r="I727" i="72"/>
  <c r="I728" i="72"/>
  <c r="I729" i="72"/>
  <c r="I730" i="72"/>
  <c r="I731" i="72"/>
  <c r="I732" i="72"/>
  <c r="I733" i="72"/>
  <c r="I734" i="72"/>
  <c r="I735" i="72"/>
  <c r="I736" i="72"/>
  <c r="I737" i="72"/>
  <c r="I738" i="72"/>
  <c r="I739" i="72"/>
  <c r="I740" i="72"/>
  <c r="I741" i="72"/>
  <c r="I742" i="72"/>
  <c r="I743" i="72"/>
  <c r="I744" i="72"/>
  <c r="I745" i="72"/>
  <c r="I746" i="72"/>
  <c r="I747" i="72"/>
  <c r="I748" i="72"/>
  <c r="I749" i="72"/>
  <c r="I750" i="72"/>
  <c r="I751" i="72"/>
  <c r="I752" i="72"/>
  <c r="I753" i="72"/>
  <c r="I754" i="72"/>
  <c r="I755" i="72"/>
  <c r="I756" i="72"/>
  <c r="I757" i="72"/>
  <c r="I758" i="72"/>
  <c r="I759" i="72"/>
  <c r="I760" i="72"/>
  <c r="I761" i="72"/>
  <c r="I762" i="72"/>
  <c r="I763" i="72"/>
  <c r="I764" i="72"/>
  <c r="I765" i="72"/>
  <c r="I766" i="72"/>
  <c r="I767" i="72"/>
  <c r="I768" i="72"/>
  <c r="I769" i="72"/>
  <c r="I770" i="72"/>
  <c r="I771" i="72"/>
  <c r="I772" i="72"/>
  <c r="I773" i="72"/>
  <c r="I774" i="72"/>
  <c r="I775" i="72"/>
  <c r="I776" i="72"/>
  <c r="I777" i="72"/>
  <c r="I778" i="72"/>
  <c r="I779" i="72"/>
  <c r="I780" i="72"/>
  <c r="I781" i="72"/>
  <c r="I782" i="72"/>
  <c r="I783" i="72"/>
  <c r="I784" i="72"/>
  <c r="I785" i="72"/>
  <c r="I786" i="72"/>
  <c r="I787" i="72"/>
  <c r="I788" i="72"/>
  <c r="I789" i="72"/>
  <c r="I790" i="72"/>
  <c r="I791" i="72"/>
  <c r="I792" i="72"/>
  <c r="I793" i="72"/>
  <c r="I794" i="72"/>
  <c r="I795" i="72"/>
  <c r="I796" i="72"/>
  <c r="I797" i="72"/>
  <c r="I798" i="72"/>
  <c r="I799" i="72"/>
  <c r="I800" i="72"/>
  <c r="I801" i="72"/>
  <c r="I802" i="72"/>
  <c r="I803" i="72"/>
  <c r="I804" i="72"/>
  <c r="I805" i="72"/>
  <c r="I806" i="72"/>
  <c r="I807" i="72"/>
  <c r="I808" i="72"/>
  <c r="I809" i="72"/>
  <c r="I810" i="72"/>
  <c r="I811" i="72"/>
  <c r="I812" i="72"/>
  <c r="I813" i="72"/>
  <c r="I814" i="72"/>
  <c r="I815" i="72"/>
  <c r="I816" i="72"/>
  <c r="I817" i="72"/>
  <c r="I818" i="72"/>
  <c r="I819" i="72"/>
  <c r="I820" i="72"/>
  <c r="I821" i="72"/>
  <c r="I822" i="72"/>
  <c r="I823" i="72"/>
  <c r="I824" i="72"/>
  <c r="I825" i="72"/>
  <c r="I826" i="72"/>
  <c r="I827" i="72"/>
  <c r="I828" i="72"/>
  <c r="I829" i="72"/>
  <c r="I830" i="72"/>
  <c r="I831" i="72"/>
  <c r="I832" i="72"/>
  <c r="I833" i="72"/>
  <c r="I834" i="72"/>
  <c r="I835" i="72"/>
  <c r="I836" i="72"/>
  <c r="I837" i="72"/>
  <c r="I838" i="72"/>
  <c r="I839" i="72"/>
  <c r="I840" i="72"/>
  <c r="I841" i="72"/>
  <c r="I842" i="72"/>
  <c r="I843" i="72"/>
  <c r="I844" i="72"/>
  <c r="I845" i="72"/>
  <c r="I846" i="72"/>
  <c r="I847" i="72"/>
  <c r="I848" i="72"/>
  <c r="I849" i="72"/>
  <c r="I850" i="72"/>
  <c r="I851" i="72"/>
  <c r="I852" i="72"/>
  <c r="I853" i="72"/>
  <c r="I854" i="72"/>
  <c r="I855" i="72"/>
  <c r="I856" i="72"/>
  <c r="I857" i="72"/>
  <c r="I858" i="72"/>
  <c r="I859" i="72"/>
  <c r="I860" i="72"/>
  <c r="I861" i="72"/>
  <c r="I862" i="72"/>
  <c r="I863" i="72"/>
  <c r="I864" i="72"/>
  <c r="I865" i="72"/>
  <c r="I866" i="72"/>
  <c r="I867" i="72"/>
  <c r="I868" i="72"/>
  <c r="I869" i="72"/>
  <c r="I870" i="72"/>
  <c r="I871" i="72"/>
  <c r="I872" i="72"/>
  <c r="I873" i="72"/>
  <c r="I874" i="72"/>
  <c r="I875" i="72"/>
  <c r="I876" i="72"/>
  <c r="I877" i="72"/>
  <c r="I878" i="72"/>
  <c r="I879" i="72"/>
  <c r="I880" i="72"/>
  <c r="I881" i="72"/>
  <c r="I882" i="72"/>
  <c r="I883" i="72"/>
  <c r="I884" i="72"/>
  <c r="I885" i="72"/>
  <c r="I886" i="72"/>
  <c r="I887" i="72"/>
  <c r="I888" i="72"/>
  <c r="I889" i="72"/>
  <c r="I890" i="72"/>
  <c r="I891" i="72"/>
  <c r="I892" i="72"/>
  <c r="I893" i="72"/>
  <c r="I894" i="72"/>
  <c r="I895" i="72"/>
  <c r="I896" i="72"/>
  <c r="I897" i="72"/>
  <c r="I898" i="72"/>
  <c r="I899" i="72"/>
  <c r="I900" i="72"/>
  <c r="I901" i="72"/>
  <c r="I902" i="72"/>
  <c r="I903" i="72"/>
  <c r="I904" i="72"/>
  <c r="I905" i="72"/>
  <c r="I906" i="72"/>
  <c r="I907" i="72"/>
  <c r="I908" i="72"/>
  <c r="H8" i="72"/>
  <c r="H16" i="72"/>
  <c r="H24" i="72"/>
  <c r="H32" i="72"/>
  <c r="H40" i="72"/>
  <c r="H48" i="72"/>
  <c r="H56" i="72"/>
  <c r="H64" i="72"/>
  <c r="H72" i="72"/>
  <c r="H80" i="72"/>
  <c r="H88" i="72"/>
  <c r="H96" i="72"/>
  <c r="H104" i="72"/>
  <c r="H112" i="72"/>
  <c r="H120" i="72"/>
  <c r="H128" i="72"/>
  <c r="H136" i="72"/>
  <c r="H144" i="72"/>
  <c r="H152" i="72"/>
  <c r="H160" i="72"/>
  <c r="H168" i="72"/>
  <c r="H176" i="72"/>
  <c r="H184" i="72"/>
  <c r="H192" i="72"/>
  <c r="H200" i="72"/>
  <c r="H208" i="72"/>
  <c r="H216" i="72"/>
  <c r="H224" i="72"/>
  <c r="H232" i="72"/>
  <c r="H240" i="72"/>
  <c r="H248" i="72"/>
  <c r="H256" i="72"/>
  <c r="H264" i="72"/>
  <c r="H272" i="72"/>
  <c r="H280" i="72"/>
  <c r="H288" i="72"/>
  <c r="H296" i="72"/>
  <c r="H304" i="72"/>
  <c r="H312" i="72"/>
  <c r="H320" i="72"/>
  <c r="H328" i="72"/>
  <c r="H336" i="72"/>
  <c r="H344" i="72"/>
  <c r="H352" i="72"/>
  <c r="H360" i="72"/>
  <c r="H368" i="72"/>
  <c r="H376" i="72"/>
  <c r="H384" i="72"/>
  <c r="H392" i="72"/>
  <c r="H400" i="72"/>
  <c r="H408" i="72"/>
  <c r="H416" i="72"/>
  <c r="H424" i="72"/>
  <c r="H432" i="72"/>
  <c r="H440" i="72"/>
  <c r="H448" i="72"/>
  <c r="H456" i="72"/>
  <c r="H464" i="72"/>
  <c r="H472" i="72"/>
  <c r="H480" i="72"/>
  <c r="H488" i="72"/>
  <c r="H496" i="72"/>
  <c r="H504" i="72"/>
  <c r="H512" i="72"/>
  <c r="H520" i="72"/>
  <c r="H528" i="72"/>
  <c r="H536" i="72"/>
  <c r="H544" i="72"/>
  <c r="H552" i="72"/>
  <c r="H560" i="72"/>
  <c r="H568" i="72"/>
  <c r="H576" i="72"/>
  <c r="H584" i="72"/>
  <c r="H592" i="72"/>
  <c r="H600" i="72"/>
  <c r="H608" i="72"/>
  <c r="H616" i="72"/>
  <c r="H624" i="72"/>
  <c r="H632" i="72"/>
  <c r="H640" i="72"/>
  <c r="H648" i="72"/>
  <c r="H656" i="72"/>
  <c r="H664" i="72"/>
  <c r="H672" i="72"/>
  <c r="H680" i="72"/>
  <c r="H688" i="72"/>
  <c r="H696" i="72"/>
  <c r="H704" i="72"/>
  <c r="H712" i="72"/>
  <c r="H720" i="72"/>
  <c r="H728" i="72"/>
  <c r="H736" i="72"/>
  <c r="H744" i="72"/>
  <c r="H752" i="72"/>
  <c r="H760" i="72"/>
  <c r="H768" i="72"/>
  <c r="H776" i="72"/>
  <c r="H784" i="72"/>
  <c r="H792" i="72"/>
  <c r="H800" i="72"/>
  <c r="H808" i="72"/>
  <c r="H816" i="72"/>
  <c r="H824" i="72"/>
  <c r="H832" i="72"/>
  <c r="H840" i="72"/>
  <c r="H848" i="72"/>
  <c r="H856" i="72"/>
  <c r="H864" i="72"/>
  <c r="H872" i="72"/>
  <c r="H880" i="72"/>
  <c r="H888" i="72"/>
  <c r="H896" i="72"/>
  <c r="H904" i="72"/>
  <c r="D2" i="72"/>
  <c r="D3" i="72"/>
  <c r="D4" i="72"/>
  <c r="D5" i="72"/>
  <c r="D6" i="72"/>
  <c r="D7" i="72"/>
  <c r="D8" i="72"/>
  <c r="D9" i="72"/>
  <c r="D10" i="72"/>
  <c r="D11" i="72"/>
  <c r="D12" i="72"/>
  <c r="D13" i="72"/>
  <c r="D14" i="72"/>
  <c r="D15" i="72"/>
  <c r="D16" i="72"/>
  <c r="D17" i="72"/>
  <c r="D18" i="72"/>
  <c r="D19" i="72"/>
  <c r="D20" i="72"/>
  <c r="D21" i="72"/>
  <c r="D22" i="72"/>
  <c r="D23" i="72"/>
  <c r="D24" i="72"/>
  <c r="D25" i="72"/>
  <c r="D26" i="72"/>
  <c r="D27" i="72"/>
  <c r="D28" i="72"/>
  <c r="D29" i="72"/>
  <c r="D30" i="72"/>
  <c r="D31" i="72"/>
  <c r="D32" i="72"/>
  <c r="D33" i="72"/>
  <c r="D34" i="72"/>
  <c r="D35" i="72"/>
  <c r="D36" i="72"/>
  <c r="D37" i="72"/>
  <c r="D38" i="72"/>
  <c r="D39" i="72"/>
  <c r="D40" i="72"/>
  <c r="D41" i="72"/>
  <c r="D42" i="72"/>
  <c r="D43" i="72"/>
  <c r="D44" i="72"/>
  <c r="D45" i="72"/>
  <c r="D46" i="72"/>
  <c r="D47" i="72"/>
  <c r="D48" i="72"/>
  <c r="D49" i="72"/>
  <c r="D50" i="72"/>
  <c r="D51" i="72"/>
  <c r="D52" i="72"/>
  <c r="D53" i="72"/>
  <c r="D54" i="72"/>
  <c r="D55" i="72"/>
  <c r="D56" i="72"/>
  <c r="D57" i="72"/>
  <c r="D58" i="72"/>
  <c r="D59" i="72"/>
  <c r="D60" i="72"/>
  <c r="D61" i="72"/>
  <c r="D62" i="72"/>
  <c r="D63" i="72"/>
  <c r="D64" i="72"/>
  <c r="D65" i="72"/>
  <c r="D66" i="72"/>
  <c r="D67" i="72"/>
  <c r="D68" i="72"/>
  <c r="D69" i="72"/>
  <c r="D70" i="72"/>
  <c r="D71" i="72"/>
  <c r="D72" i="72"/>
  <c r="D73" i="72"/>
  <c r="D74" i="72"/>
  <c r="D75" i="72"/>
  <c r="D76" i="72"/>
  <c r="D77" i="72"/>
  <c r="D78" i="72"/>
  <c r="D79" i="72"/>
  <c r="D80" i="72"/>
  <c r="D81" i="72"/>
  <c r="D82" i="72"/>
  <c r="D83" i="72"/>
  <c r="D84" i="72"/>
  <c r="D85" i="72"/>
  <c r="D86" i="72"/>
  <c r="D87" i="72"/>
  <c r="D88" i="72"/>
  <c r="D89" i="72"/>
  <c r="D90" i="72"/>
  <c r="D91" i="72"/>
  <c r="D92" i="72"/>
  <c r="D93" i="72"/>
  <c r="D94" i="72"/>
  <c r="D95" i="72"/>
  <c r="D96" i="72"/>
  <c r="D97" i="72"/>
  <c r="D98" i="72"/>
  <c r="D99" i="72"/>
  <c r="D100" i="72"/>
  <c r="D101" i="72"/>
  <c r="D102" i="72"/>
  <c r="D103" i="72"/>
  <c r="D104" i="72"/>
  <c r="D105" i="72"/>
  <c r="D106" i="72"/>
  <c r="D107" i="72"/>
  <c r="D108" i="72"/>
  <c r="D109" i="72"/>
  <c r="D110" i="72"/>
  <c r="D111" i="72"/>
  <c r="D112" i="72"/>
  <c r="D113" i="72"/>
  <c r="D114" i="72"/>
  <c r="D115" i="72"/>
  <c r="D116" i="72"/>
  <c r="D117" i="72"/>
  <c r="D118" i="72"/>
  <c r="D119" i="72"/>
  <c r="D120" i="72"/>
  <c r="D121" i="72"/>
  <c r="D122" i="72"/>
  <c r="D123" i="72"/>
  <c r="D124" i="72"/>
  <c r="D125" i="72"/>
  <c r="D126" i="72"/>
  <c r="D127" i="72"/>
  <c r="D128" i="72"/>
  <c r="D129" i="72"/>
  <c r="D130" i="72"/>
  <c r="D131" i="72"/>
  <c r="D132" i="72"/>
  <c r="D133" i="72"/>
  <c r="D134" i="72"/>
  <c r="D135" i="72"/>
  <c r="D136" i="72"/>
  <c r="D137" i="72"/>
  <c r="D138" i="72"/>
  <c r="D139" i="72"/>
  <c r="D140" i="72"/>
  <c r="D141" i="72"/>
  <c r="D142" i="72"/>
  <c r="D143" i="72"/>
  <c r="D144" i="72"/>
  <c r="D145" i="72"/>
  <c r="D146" i="72"/>
  <c r="D147" i="72"/>
  <c r="D148" i="72"/>
  <c r="D149" i="72"/>
  <c r="D150" i="72"/>
  <c r="D151" i="72"/>
  <c r="D152" i="72"/>
  <c r="D153" i="72"/>
  <c r="D154" i="72"/>
  <c r="D155" i="72"/>
  <c r="D156" i="72"/>
  <c r="D157" i="72"/>
  <c r="D158" i="72"/>
  <c r="D159" i="72"/>
  <c r="D160" i="72"/>
  <c r="D161" i="72"/>
  <c r="D162" i="72"/>
  <c r="D163" i="72"/>
  <c r="D164" i="72"/>
  <c r="D165" i="72"/>
  <c r="D166" i="72"/>
  <c r="D167" i="72"/>
  <c r="D168" i="72"/>
  <c r="D169" i="72"/>
  <c r="D170" i="72"/>
  <c r="D171" i="72"/>
  <c r="D172" i="72"/>
  <c r="D173" i="72"/>
  <c r="D174" i="72"/>
  <c r="D175" i="72"/>
  <c r="D176" i="72"/>
  <c r="D177" i="72"/>
  <c r="D178" i="72"/>
  <c r="D179" i="72"/>
  <c r="D180" i="72"/>
  <c r="D181" i="72"/>
  <c r="D182" i="72"/>
  <c r="D183" i="72"/>
  <c r="D184" i="72"/>
  <c r="D185" i="72"/>
  <c r="D186" i="72"/>
  <c r="D187" i="72"/>
  <c r="D188" i="72"/>
  <c r="D189" i="72"/>
  <c r="D190" i="72"/>
  <c r="D191" i="72"/>
  <c r="D192" i="72"/>
  <c r="D193" i="72"/>
  <c r="D194" i="72"/>
  <c r="D195" i="72"/>
  <c r="D196" i="72"/>
  <c r="D197" i="72"/>
  <c r="D198" i="72"/>
  <c r="D199" i="72"/>
  <c r="D200" i="72"/>
  <c r="D201" i="72"/>
  <c r="D202" i="72"/>
  <c r="D203" i="72"/>
  <c r="D204" i="72"/>
  <c r="D205" i="72"/>
  <c r="D206" i="72"/>
  <c r="D207" i="72"/>
  <c r="D208" i="72"/>
  <c r="D209" i="72"/>
  <c r="D210" i="72"/>
  <c r="D211" i="72"/>
  <c r="D212" i="72"/>
  <c r="D213" i="72"/>
  <c r="D214" i="72"/>
  <c r="D215" i="72"/>
  <c r="D216" i="72"/>
  <c r="D217" i="72"/>
  <c r="D218" i="72"/>
  <c r="D219" i="72"/>
  <c r="D220" i="72"/>
  <c r="D221" i="72"/>
  <c r="D222" i="72"/>
  <c r="D223" i="72"/>
  <c r="D224" i="72"/>
  <c r="D225" i="72"/>
  <c r="D226" i="72"/>
  <c r="D227" i="72"/>
  <c r="D228" i="72"/>
  <c r="D229" i="72"/>
  <c r="D230" i="72"/>
  <c r="D231" i="72"/>
  <c r="D232" i="72"/>
  <c r="D233" i="72"/>
  <c r="D234" i="72"/>
  <c r="D235" i="72"/>
  <c r="D236" i="72"/>
  <c r="D237" i="72"/>
  <c r="D238" i="72"/>
  <c r="D239" i="72"/>
  <c r="D240" i="72"/>
  <c r="D241" i="72"/>
  <c r="D242" i="72"/>
  <c r="D243" i="72"/>
  <c r="D244" i="72"/>
  <c r="D245" i="72"/>
  <c r="D246" i="72"/>
  <c r="D247" i="72"/>
  <c r="D248" i="72"/>
  <c r="D249" i="72"/>
  <c r="D250" i="72"/>
  <c r="D251" i="72"/>
  <c r="D252" i="72"/>
  <c r="D253" i="72"/>
  <c r="D254" i="72"/>
  <c r="D255" i="72"/>
  <c r="D256" i="72"/>
  <c r="D257" i="72"/>
  <c r="D258" i="72"/>
  <c r="D259" i="72"/>
  <c r="D260" i="72"/>
  <c r="D261" i="72"/>
  <c r="D262" i="72"/>
  <c r="D263" i="72"/>
  <c r="D264" i="72"/>
  <c r="D265" i="72"/>
  <c r="D266" i="72"/>
  <c r="D267" i="72"/>
  <c r="D268" i="72"/>
  <c r="D269" i="72"/>
  <c r="D270" i="72"/>
  <c r="D271" i="72"/>
  <c r="D272" i="72"/>
  <c r="D273" i="72"/>
  <c r="D274" i="72"/>
  <c r="D275" i="72"/>
  <c r="D276" i="72"/>
  <c r="D277" i="72"/>
  <c r="D278" i="72"/>
  <c r="D279" i="72"/>
  <c r="D280" i="72"/>
  <c r="D281" i="72"/>
  <c r="D282" i="72"/>
  <c r="D283" i="72"/>
  <c r="D284" i="72"/>
  <c r="D285" i="72"/>
  <c r="D286" i="72"/>
  <c r="D287" i="72"/>
  <c r="D288" i="72"/>
  <c r="D289" i="72"/>
  <c r="D290" i="72"/>
  <c r="D291" i="72"/>
  <c r="D292" i="72"/>
  <c r="D293" i="72"/>
  <c r="D294" i="72"/>
  <c r="D295" i="72"/>
  <c r="D296" i="72"/>
  <c r="D297" i="72"/>
  <c r="D298" i="72"/>
  <c r="D299" i="72"/>
  <c r="D300" i="72"/>
  <c r="D301" i="72"/>
  <c r="D302" i="72"/>
  <c r="D303" i="72"/>
  <c r="D304" i="72"/>
  <c r="D305" i="72"/>
  <c r="D306" i="72"/>
  <c r="D307" i="72"/>
  <c r="D308" i="72"/>
  <c r="D309" i="72"/>
  <c r="D310" i="72"/>
  <c r="D311" i="72"/>
  <c r="D312" i="72"/>
  <c r="D313" i="72"/>
  <c r="D314" i="72"/>
  <c r="D315" i="72"/>
  <c r="D316" i="72"/>
  <c r="D317" i="72"/>
  <c r="D318" i="72"/>
  <c r="D319" i="72"/>
  <c r="D320" i="72"/>
  <c r="D321" i="72"/>
  <c r="D322" i="72"/>
  <c r="D323" i="72"/>
  <c r="D324" i="72"/>
  <c r="D325" i="72"/>
  <c r="D326" i="72"/>
  <c r="D327" i="72"/>
  <c r="D328" i="72"/>
  <c r="D329" i="72"/>
  <c r="D330" i="72"/>
  <c r="D331" i="72"/>
  <c r="D332" i="72"/>
  <c r="D333" i="72"/>
  <c r="D334" i="72"/>
  <c r="D335" i="72"/>
  <c r="D336" i="72"/>
  <c r="D337" i="72"/>
  <c r="D338" i="72"/>
  <c r="D339" i="72"/>
  <c r="D340" i="72"/>
  <c r="D341" i="72"/>
  <c r="D342" i="72"/>
  <c r="D343" i="72"/>
  <c r="D344" i="72"/>
  <c r="D345" i="72"/>
  <c r="D346" i="72"/>
  <c r="D347" i="72"/>
  <c r="D348" i="72"/>
  <c r="D349" i="72"/>
  <c r="D350" i="72"/>
  <c r="D351" i="72"/>
  <c r="D352" i="72"/>
  <c r="D353" i="72"/>
  <c r="D354" i="72"/>
  <c r="D355" i="72"/>
  <c r="D356" i="72"/>
  <c r="D357" i="72"/>
  <c r="D358" i="72"/>
  <c r="D359" i="72"/>
  <c r="D360" i="72"/>
  <c r="D361" i="72"/>
  <c r="D362" i="72"/>
  <c r="D363" i="72"/>
  <c r="D364" i="72"/>
  <c r="D365" i="72"/>
  <c r="D366" i="72"/>
  <c r="D367" i="72"/>
  <c r="D368" i="72"/>
  <c r="D369" i="72"/>
  <c r="D370" i="72"/>
  <c r="D371" i="72"/>
  <c r="D372" i="72"/>
  <c r="D373" i="72"/>
  <c r="D374" i="72"/>
  <c r="D375" i="72"/>
  <c r="D376" i="72"/>
  <c r="D377" i="72"/>
  <c r="D378" i="72"/>
  <c r="D379" i="72"/>
  <c r="D380" i="72"/>
  <c r="D381" i="72"/>
  <c r="D382" i="72"/>
  <c r="D383" i="72"/>
  <c r="D384" i="72"/>
  <c r="D385" i="72"/>
  <c r="D386" i="72"/>
  <c r="D387" i="72"/>
  <c r="D388" i="72"/>
  <c r="D389" i="72"/>
  <c r="D390" i="72"/>
  <c r="D391" i="72"/>
  <c r="D392" i="72"/>
  <c r="D393" i="72"/>
  <c r="D394" i="72"/>
  <c r="D395" i="72"/>
  <c r="D396" i="72"/>
  <c r="D397" i="72"/>
  <c r="D398" i="72"/>
  <c r="D399" i="72"/>
  <c r="D400" i="72"/>
  <c r="D401" i="72"/>
  <c r="D402" i="72"/>
  <c r="D403" i="72"/>
  <c r="D404" i="72"/>
  <c r="D405" i="72"/>
  <c r="D406" i="72"/>
  <c r="D407" i="72"/>
  <c r="D408" i="72"/>
  <c r="D409" i="72"/>
  <c r="D410" i="72"/>
  <c r="D411" i="72"/>
  <c r="D412" i="72"/>
  <c r="D413" i="72"/>
  <c r="D414" i="72"/>
  <c r="D415" i="72"/>
  <c r="D416" i="72"/>
  <c r="D417" i="72"/>
  <c r="D418" i="72"/>
  <c r="D419" i="72"/>
  <c r="D420" i="72"/>
  <c r="D421" i="72"/>
  <c r="D422" i="72"/>
  <c r="D423" i="72"/>
  <c r="D424" i="72"/>
  <c r="D425" i="72"/>
  <c r="D426" i="72"/>
  <c r="D427" i="72"/>
  <c r="D428" i="72"/>
  <c r="D429" i="72"/>
  <c r="D430" i="72"/>
  <c r="D431" i="72"/>
  <c r="D432" i="72"/>
  <c r="D433" i="72"/>
  <c r="D434" i="72"/>
  <c r="D435" i="72"/>
  <c r="D436" i="72"/>
  <c r="D437" i="72"/>
  <c r="D438" i="72"/>
  <c r="D439" i="72"/>
  <c r="D440" i="72"/>
  <c r="D441" i="72"/>
  <c r="D442" i="72"/>
  <c r="D443" i="72"/>
  <c r="D444" i="72"/>
  <c r="D445" i="72"/>
  <c r="D446" i="72"/>
  <c r="D447" i="72"/>
  <c r="D448" i="72"/>
  <c r="D449" i="72"/>
  <c r="D450" i="72"/>
  <c r="D451" i="72"/>
  <c r="D452" i="72"/>
  <c r="D453" i="72"/>
  <c r="D454" i="72"/>
  <c r="D455" i="72"/>
  <c r="D456" i="72"/>
  <c r="D457" i="72"/>
  <c r="D458" i="72"/>
  <c r="D459" i="72"/>
  <c r="D460" i="72"/>
  <c r="D461" i="72"/>
  <c r="D462" i="72"/>
  <c r="D463" i="72"/>
  <c r="D464" i="72"/>
  <c r="D465" i="72"/>
  <c r="D466" i="72"/>
  <c r="D467" i="72"/>
  <c r="D468" i="72"/>
  <c r="D469" i="72"/>
  <c r="D470" i="72"/>
  <c r="D471" i="72"/>
  <c r="D472" i="72"/>
  <c r="D473" i="72"/>
  <c r="D474" i="72"/>
  <c r="D475" i="72"/>
  <c r="D476" i="72"/>
  <c r="D477" i="72"/>
  <c r="D478" i="72"/>
  <c r="D479" i="72"/>
  <c r="D480" i="72"/>
  <c r="D481" i="72"/>
  <c r="D482" i="72"/>
  <c r="D483" i="72"/>
  <c r="D484" i="72"/>
  <c r="D485" i="72"/>
  <c r="D486" i="72"/>
  <c r="D487" i="72"/>
  <c r="D488" i="72"/>
  <c r="D489" i="72"/>
  <c r="D490" i="72"/>
  <c r="D491" i="72"/>
  <c r="D492" i="72"/>
  <c r="D493" i="72"/>
  <c r="D494" i="72"/>
  <c r="D495" i="72"/>
  <c r="D496" i="72"/>
  <c r="D497" i="72"/>
  <c r="D498" i="72"/>
  <c r="D499" i="72"/>
  <c r="D500" i="72"/>
  <c r="D501" i="72"/>
  <c r="D502" i="72"/>
  <c r="D503" i="72"/>
  <c r="D504" i="72"/>
  <c r="D505" i="72"/>
  <c r="D506" i="72"/>
  <c r="D507" i="72"/>
  <c r="D508" i="72"/>
  <c r="D509" i="72"/>
  <c r="D510" i="72"/>
  <c r="D511" i="72"/>
  <c r="D512" i="72"/>
  <c r="D513" i="72"/>
  <c r="D514" i="72"/>
  <c r="D515" i="72"/>
  <c r="D516" i="72"/>
  <c r="D517" i="72"/>
  <c r="D518" i="72"/>
  <c r="D519" i="72"/>
  <c r="D520" i="72"/>
  <c r="D521" i="72"/>
  <c r="D522" i="72"/>
  <c r="D523" i="72"/>
  <c r="D524" i="72"/>
  <c r="D525" i="72"/>
  <c r="D526" i="72"/>
  <c r="D527" i="72"/>
  <c r="D528" i="72"/>
  <c r="D529" i="72"/>
  <c r="D530" i="72"/>
  <c r="D531" i="72"/>
  <c r="D532" i="72"/>
  <c r="D533" i="72"/>
  <c r="D534" i="72"/>
  <c r="D535" i="72"/>
  <c r="D536" i="72"/>
  <c r="D537" i="72"/>
  <c r="D538" i="72"/>
  <c r="D539" i="72"/>
  <c r="D540" i="72"/>
  <c r="D541" i="72"/>
  <c r="D542" i="72"/>
  <c r="D543" i="72"/>
  <c r="D544" i="72"/>
  <c r="D545" i="72"/>
  <c r="D546" i="72"/>
  <c r="D547" i="72"/>
  <c r="D548" i="72"/>
  <c r="D549" i="72"/>
  <c r="D550" i="72"/>
  <c r="D551" i="72"/>
  <c r="D552" i="72"/>
  <c r="D553" i="72"/>
  <c r="D554" i="72"/>
  <c r="D555" i="72"/>
  <c r="D556" i="72"/>
  <c r="D557" i="72"/>
  <c r="D558" i="72"/>
  <c r="D559" i="72"/>
  <c r="D560" i="72"/>
  <c r="D561" i="72"/>
  <c r="D562" i="72"/>
  <c r="D563" i="72"/>
  <c r="D564" i="72"/>
  <c r="D565" i="72"/>
  <c r="D566" i="72"/>
  <c r="D567" i="72"/>
  <c r="D568" i="72"/>
  <c r="D569" i="72"/>
  <c r="D570" i="72"/>
  <c r="D571" i="72"/>
  <c r="D572" i="72"/>
  <c r="D573" i="72"/>
  <c r="D574" i="72"/>
  <c r="D575" i="72"/>
  <c r="D576" i="72"/>
  <c r="D577" i="72"/>
  <c r="D578" i="72"/>
  <c r="D579" i="72"/>
  <c r="D580" i="72"/>
  <c r="D581" i="72"/>
  <c r="D582" i="72"/>
  <c r="D583" i="72"/>
  <c r="D584" i="72"/>
  <c r="D585" i="72"/>
  <c r="D586" i="72"/>
  <c r="D587" i="72"/>
  <c r="D588" i="72"/>
  <c r="D589" i="72"/>
  <c r="D590" i="72"/>
  <c r="D591" i="72"/>
  <c r="D592" i="72"/>
  <c r="D593" i="72"/>
  <c r="D594" i="72"/>
  <c r="D595" i="72"/>
  <c r="D596" i="72"/>
  <c r="D597" i="72"/>
  <c r="D598" i="72"/>
  <c r="D599" i="72"/>
  <c r="D600" i="72"/>
  <c r="D601" i="72"/>
  <c r="D602" i="72"/>
  <c r="D603" i="72"/>
  <c r="D604" i="72"/>
  <c r="D605" i="72"/>
  <c r="D606" i="72"/>
  <c r="D607" i="72"/>
  <c r="D608" i="72"/>
  <c r="D609" i="72"/>
  <c r="D610" i="72"/>
  <c r="D611" i="72"/>
  <c r="D612" i="72"/>
  <c r="D613" i="72"/>
  <c r="D614" i="72"/>
  <c r="D615" i="72"/>
  <c r="D616" i="72"/>
  <c r="D617" i="72"/>
  <c r="D618" i="72"/>
  <c r="D619" i="72"/>
  <c r="D620" i="72"/>
  <c r="D621" i="72"/>
  <c r="D622" i="72"/>
  <c r="D623" i="72"/>
  <c r="D624" i="72"/>
  <c r="D625" i="72"/>
  <c r="D626" i="72"/>
  <c r="D627" i="72"/>
  <c r="D628" i="72"/>
  <c r="D629" i="72"/>
  <c r="D630" i="72"/>
  <c r="D631" i="72"/>
  <c r="D632" i="72"/>
  <c r="D633" i="72"/>
  <c r="D634" i="72"/>
  <c r="D635" i="72"/>
  <c r="D636" i="72"/>
  <c r="D637" i="72"/>
  <c r="D638" i="72"/>
  <c r="D639" i="72"/>
  <c r="D640" i="72"/>
  <c r="D641" i="72"/>
  <c r="D642" i="72"/>
  <c r="D643" i="72"/>
  <c r="D644" i="72"/>
  <c r="D645" i="72"/>
  <c r="D646" i="72"/>
  <c r="D647" i="72"/>
  <c r="D648" i="72"/>
  <c r="D649" i="72"/>
  <c r="D650" i="72"/>
  <c r="D651" i="72"/>
  <c r="D652" i="72"/>
  <c r="D653" i="72"/>
  <c r="D654" i="72"/>
  <c r="D655" i="72"/>
  <c r="D656" i="72"/>
  <c r="D657" i="72"/>
  <c r="D658" i="72"/>
  <c r="D659" i="72"/>
  <c r="D660" i="72"/>
  <c r="D661" i="72"/>
  <c r="D662" i="72"/>
  <c r="D663" i="72"/>
  <c r="D664" i="72"/>
  <c r="D665" i="72"/>
  <c r="D666" i="72"/>
  <c r="D667" i="72"/>
  <c r="D668" i="72"/>
  <c r="D669" i="72"/>
  <c r="D670" i="72"/>
  <c r="D671" i="72"/>
  <c r="D672" i="72"/>
  <c r="D673" i="72"/>
  <c r="D674" i="72"/>
  <c r="D675" i="72"/>
  <c r="D676" i="72"/>
  <c r="D677" i="72"/>
  <c r="D678" i="72"/>
  <c r="D679" i="72"/>
  <c r="D680" i="72"/>
  <c r="D681" i="72"/>
  <c r="D682" i="72"/>
  <c r="D683" i="72"/>
  <c r="D684" i="72"/>
  <c r="D685" i="72"/>
  <c r="D686" i="72"/>
  <c r="D687" i="72"/>
  <c r="D688" i="72"/>
  <c r="D689" i="72"/>
  <c r="D690" i="72"/>
  <c r="D691" i="72"/>
  <c r="D692" i="72"/>
  <c r="D693" i="72"/>
  <c r="D694" i="72"/>
  <c r="D695" i="72"/>
  <c r="D696" i="72"/>
  <c r="D697" i="72"/>
  <c r="D698" i="72"/>
  <c r="D699" i="72"/>
  <c r="D700" i="72"/>
  <c r="D701" i="72"/>
  <c r="D702" i="72"/>
  <c r="D703" i="72"/>
  <c r="D704" i="72"/>
  <c r="D705" i="72"/>
  <c r="D706" i="72"/>
  <c r="D707" i="72"/>
  <c r="D708" i="72"/>
  <c r="D709" i="72"/>
  <c r="D710" i="72"/>
  <c r="D711" i="72"/>
  <c r="D712" i="72"/>
  <c r="D713" i="72"/>
  <c r="D714" i="72"/>
  <c r="D715" i="72"/>
  <c r="D716" i="72"/>
  <c r="D717" i="72"/>
  <c r="D718" i="72"/>
  <c r="D719" i="72"/>
  <c r="D720" i="72"/>
  <c r="D721" i="72"/>
  <c r="D722" i="72"/>
  <c r="D723" i="72"/>
  <c r="D724" i="72"/>
  <c r="D725" i="72"/>
  <c r="D726" i="72"/>
  <c r="D727" i="72"/>
  <c r="D728" i="72"/>
  <c r="D729" i="72"/>
  <c r="D730" i="72"/>
  <c r="D731" i="72"/>
  <c r="D732" i="72"/>
  <c r="D733" i="72"/>
  <c r="D734" i="72"/>
  <c r="D735" i="72"/>
  <c r="D736" i="72"/>
  <c r="D737" i="72"/>
  <c r="D738" i="72"/>
  <c r="D739" i="72"/>
  <c r="D740" i="72"/>
  <c r="D741" i="72"/>
  <c r="D742" i="72"/>
  <c r="D743" i="72"/>
  <c r="D744" i="72"/>
  <c r="D745" i="72"/>
  <c r="D746" i="72"/>
  <c r="D747" i="72"/>
  <c r="D748" i="72"/>
  <c r="D749" i="72"/>
  <c r="D750" i="72"/>
  <c r="D751" i="72"/>
  <c r="D752" i="72"/>
  <c r="D753" i="72"/>
  <c r="D754" i="72"/>
  <c r="D755" i="72"/>
  <c r="D756" i="72"/>
  <c r="D757" i="72"/>
  <c r="D758" i="72"/>
  <c r="D759" i="72"/>
  <c r="D760" i="72"/>
  <c r="D761" i="72"/>
  <c r="D762" i="72"/>
  <c r="D763" i="72"/>
  <c r="D764" i="72"/>
  <c r="D765" i="72"/>
  <c r="D766" i="72"/>
  <c r="D767" i="72"/>
  <c r="D768" i="72"/>
  <c r="D769" i="72"/>
  <c r="D770" i="72"/>
  <c r="D771" i="72"/>
  <c r="D772" i="72"/>
  <c r="D773" i="72"/>
  <c r="D774" i="72"/>
  <c r="D775" i="72"/>
  <c r="D776" i="72"/>
  <c r="D777" i="72"/>
  <c r="D778" i="72"/>
  <c r="D779" i="72"/>
  <c r="D780" i="72"/>
  <c r="D781" i="72"/>
  <c r="D782" i="72"/>
  <c r="D783" i="72"/>
  <c r="D784" i="72"/>
  <c r="D785" i="72"/>
  <c r="D786" i="72"/>
  <c r="D787" i="72"/>
  <c r="D788" i="72"/>
  <c r="D789" i="72"/>
  <c r="D790" i="72"/>
  <c r="D791" i="72"/>
  <c r="D792" i="72"/>
  <c r="D793" i="72"/>
  <c r="D794" i="72"/>
  <c r="D795" i="72"/>
  <c r="D796" i="72"/>
  <c r="D797" i="72"/>
  <c r="D798" i="72"/>
  <c r="D799" i="72"/>
  <c r="D800" i="72"/>
  <c r="D801" i="72"/>
  <c r="D802" i="72"/>
  <c r="D803" i="72"/>
  <c r="D804" i="72"/>
  <c r="D805" i="72"/>
  <c r="D806" i="72"/>
  <c r="D807" i="72"/>
  <c r="D808" i="72"/>
  <c r="D809" i="72"/>
  <c r="D810" i="72"/>
  <c r="D811" i="72"/>
  <c r="D812" i="72"/>
  <c r="D813" i="72"/>
  <c r="D814" i="72"/>
  <c r="D815" i="72"/>
  <c r="D816" i="72"/>
  <c r="D817" i="72"/>
  <c r="D818" i="72"/>
  <c r="D819" i="72"/>
  <c r="D820" i="72"/>
  <c r="D821" i="72"/>
  <c r="D822" i="72"/>
  <c r="D823" i="72"/>
  <c r="D824" i="72"/>
  <c r="D825" i="72"/>
  <c r="D826" i="72"/>
  <c r="D827" i="72"/>
  <c r="D828" i="72"/>
  <c r="D829" i="72"/>
  <c r="D830" i="72"/>
  <c r="D831" i="72"/>
  <c r="D832" i="72"/>
  <c r="D833" i="72"/>
  <c r="D834" i="72"/>
  <c r="D835" i="72"/>
  <c r="D836" i="72"/>
  <c r="D837" i="72"/>
  <c r="D838" i="72"/>
  <c r="D839" i="72"/>
  <c r="D840" i="72"/>
  <c r="D841" i="72"/>
  <c r="D842" i="72"/>
  <c r="D843" i="72"/>
  <c r="D844" i="72"/>
  <c r="D845" i="72"/>
  <c r="D846" i="72"/>
  <c r="D847" i="72"/>
  <c r="D848" i="72"/>
  <c r="D849" i="72"/>
  <c r="D850" i="72"/>
  <c r="D851" i="72"/>
  <c r="D852" i="72"/>
  <c r="D853" i="72"/>
  <c r="D854" i="72"/>
  <c r="D855" i="72"/>
  <c r="D856" i="72"/>
  <c r="D857" i="72"/>
  <c r="D858" i="72"/>
  <c r="D859" i="72"/>
  <c r="D860" i="72"/>
  <c r="D861" i="72"/>
  <c r="D862" i="72"/>
  <c r="D863" i="72"/>
  <c r="D864" i="72"/>
  <c r="D865" i="72"/>
  <c r="D866" i="72"/>
  <c r="D867" i="72"/>
  <c r="D868" i="72"/>
  <c r="D869" i="72"/>
  <c r="D870" i="72"/>
  <c r="D871" i="72"/>
  <c r="D872" i="72"/>
  <c r="D873" i="72"/>
  <c r="D874" i="72"/>
  <c r="D875" i="72"/>
  <c r="D876" i="72"/>
  <c r="D877" i="72"/>
  <c r="D878" i="72"/>
  <c r="D879" i="72"/>
  <c r="D880" i="72"/>
  <c r="D881" i="72"/>
  <c r="D882" i="72"/>
  <c r="D883" i="72"/>
  <c r="D884" i="72"/>
  <c r="D885" i="72"/>
  <c r="D886" i="72"/>
  <c r="D887" i="72"/>
  <c r="D888" i="72"/>
  <c r="D889" i="72"/>
  <c r="D890" i="72"/>
  <c r="D891" i="72"/>
  <c r="D892" i="72"/>
  <c r="D893" i="72"/>
  <c r="D894" i="72"/>
  <c r="D895" i="72"/>
  <c r="D896" i="72"/>
  <c r="D897" i="72"/>
  <c r="D898" i="72"/>
  <c r="D899" i="72"/>
  <c r="D900" i="72"/>
  <c r="D901" i="72"/>
  <c r="D902" i="72"/>
  <c r="D903" i="72"/>
  <c r="D904" i="72"/>
  <c r="D905" i="72"/>
  <c r="D906" i="72"/>
  <c r="D907" i="72"/>
  <c r="D908" i="72"/>
  <c r="H2" i="72"/>
  <c r="H3" i="72"/>
  <c r="H4" i="72"/>
  <c r="H5" i="72"/>
  <c r="H6" i="72"/>
  <c r="H7" i="72"/>
  <c r="H9" i="72"/>
  <c r="H10" i="72"/>
  <c r="H11" i="72"/>
  <c r="H12" i="72"/>
  <c r="H13" i="72"/>
  <c r="H14" i="72"/>
  <c r="H15" i="72"/>
  <c r="H17" i="72"/>
  <c r="H18" i="72"/>
  <c r="H19" i="72"/>
  <c r="H20" i="72"/>
  <c r="H21" i="72"/>
  <c r="H22" i="72"/>
  <c r="H23" i="72"/>
  <c r="H25" i="72"/>
  <c r="H26" i="72"/>
  <c r="H27" i="72"/>
  <c r="H28" i="72"/>
  <c r="H29" i="72"/>
  <c r="H30" i="72"/>
  <c r="H31" i="72"/>
  <c r="H33" i="72"/>
  <c r="H34" i="72"/>
  <c r="H35" i="72"/>
  <c r="H36" i="72"/>
  <c r="H37" i="72"/>
  <c r="H38" i="72"/>
  <c r="H39" i="72"/>
  <c r="H41" i="72"/>
  <c r="H42" i="72"/>
  <c r="H43" i="72"/>
  <c r="H44" i="72"/>
  <c r="H45" i="72"/>
  <c r="H46" i="72"/>
  <c r="H47" i="72"/>
  <c r="H49" i="72"/>
  <c r="H50" i="72"/>
  <c r="H51" i="72"/>
  <c r="H52" i="72"/>
  <c r="H53" i="72"/>
  <c r="H54" i="72"/>
  <c r="H55" i="72"/>
  <c r="H57" i="72"/>
  <c r="H58" i="72"/>
  <c r="H59" i="72"/>
  <c r="H60" i="72"/>
  <c r="H61" i="72"/>
  <c r="H62" i="72"/>
  <c r="H63" i="72"/>
  <c r="H65" i="72"/>
  <c r="H66" i="72"/>
  <c r="H67" i="72"/>
  <c r="H68" i="72"/>
  <c r="H69" i="72"/>
  <c r="H70" i="72"/>
  <c r="H71" i="72"/>
  <c r="H73" i="72"/>
  <c r="H74" i="72"/>
  <c r="H75" i="72"/>
  <c r="H76" i="72"/>
  <c r="H77" i="72"/>
  <c r="H78" i="72"/>
  <c r="H79" i="72"/>
  <c r="H81" i="72"/>
  <c r="H82" i="72"/>
  <c r="H83" i="72"/>
  <c r="H84" i="72"/>
  <c r="H85" i="72"/>
  <c r="H86" i="72"/>
  <c r="H87" i="72"/>
  <c r="H89" i="72"/>
  <c r="H90" i="72"/>
  <c r="H91" i="72"/>
  <c r="H92" i="72"/>
  <c r="H93" i="72"/>
  <c r="H94" i="72"/>
  <c r="H95" i="72"/>
  <c r="H97" i="72"/>
  <c r="H98" i="72"/>
  <c r="H99" i="72"/>
  <c r="H100" i="72"/>
  <c r="H101" i="72"/>
  <c r="H102" i="72"/>
  <c r="H103" i="72"/>
  <c r="H105" i="72"/>
  <c r="H106" i="72"/>
  <c r="H107" i="72"/>
  <c r="H108" i="72"/>
  <c r="H109" i="72"/>
  <c r="H110" i="72"/>
  <c r="H111" i="72"/>
  <c r="H113" i="72"/>
  <c r="H114" i="72"/>
  <c r="H115" i="72"/>
  <c r="H116" i="72"/>
  <c r="H117" i="72"/>
  <c r="H118" i="72"/>
  <c r="H119" i="72"/>
  <c r="H121" i="72"/>
  <c r="H122" i="72"/>
  <c r="H123" i="72"/>
  <c r="H124" i="72"/>
  <c r="H125" i="72"/>
  <c r="H126" i="72"/>
  <c r="H127" i="72"/>
  <c r="H129" i="72"/>
  <c r="H130" i="72"/>
  <c r="H131" i="72"/>
  <c r="H132" i="72"/>
  <c r="H133" i="72"/>
  <c r="H134" i="72"/>
  <c r="H135" i="72"/>
  <c r="H137" i="72"/>
  <c r="H138" i="72"/>
  <c r="H139" i="72"/>
  <c r="H140" i="72"/>
  <c r="H141" i="72"/>
  <c r="H142" i="72"/>
  <c r="H143" i="72"/>
  <c r="H145" i="72"/>
  <c r="H146" i="72"/>
  <c r="H147" i="72"/>
  <c r="H148" i="72"/>
  <c r="H149" i="72"/>
  <c r="H150" i="72"/>
  <c r="H151" i="72"/>
  <c r="H153" i="72"/>
  <c r="H154" i="72"/>
  <c r="H155" i="72"/>
  <c r="H156" i="72"/>
  <c r="H157" i="72"/>
  <c r="H158" i="72"/>
  <c r="H159" i="72"/>
  <c r="H161" i="72"/>
  <c r="H162" i="72"/>
  <c r="H163" i="72"/>
  <c r="H164" i="72"/>
  <c r="H165" i="72"/>
  <c r="H166" i="72"/>
  <c r="H167" i="72"/>
  <c r="H169" i="72"/>
  <c r="H170" i="72"/>
  <c r="H171" i="72"/>
  <c r="H172" i="72"/>
  <c r="H173" i="72"/>
  <c r="H174" i="72"/>
  <c r="H175" i="72"/>
  <c r="H177" i="72"/>
  <c r="H178" i="72"/>
  <c r="H179" i="72"/>
  <c r="H180" i="72"/>
  <c r="H181" i="72"/>
  <c r="H182" i="72"/>
  <c r="H183" i="72"/>
  <c r="H185" i="72"/>
  <c r="H186" i="72"/>
  <c r="H187" i="72"/>
  <c r="H188" i="72"/>
  <c r="H189" i="72"/>
  <c r="H190" i="72"/>
  <c r="H191" i="72"/>
  <c r="H193" i="72"/>
  <c r="H194" i="72"/>
  <c r="H195" i="72"/>
  <c r="H196" i="72"/>
  <c r="H197" i="72"/>
  <c r="H198" i="72"/>
  <c r="H199" i="72"/>
  <c r="H201" i="72"/>
  <c r="H202" i="72"/>
  <c r="H203" i="72"/>
  <c r="H204" i="72"/>
  <c r="H205" i="72"/>
  <c r="H206" i="72"/>
  <c r="H207" i="72"/>
  <c r="H209" i="72"/>
  <c r="H210" i="72"/>
  <c r="H211" i="72"/>
  <c r="H212" i="72"/>
  <c r="H213" i="72"/>
  <c r="H214" i="72"/>
  <c r="H215" i="72"/>
  <c r="H217" i="72"/>
  <c r="H218" i="72"/>
  <c r="H219" i="72"/>
  <c r="H220" i="72"/>
  <c r="H221" i="72"/>
  <c r="H222" i="72"/>
  <c r="H223" i="72"/>
  <c r="H225" i="72"/>
  <c r="H226" i="72"/>
  <c r="H227" i="72"/>
  <c r="H228" i="72"/>
  <c r="H229" i="72"/>
  <c r="H230" i="72"/>
  <c r="H231" i="72"/>
  <c r="H233" i="72"/>
  <c r="H234" i="72"/>
  <c r="H235" i="72"/>
  <c r="H236" i="72"/>
  <c r="H237" i="72"/>
  <c r="H238" i="72"/>
  <c r="H239" i="72"/>
  <c r="H241" i="72"/>
  <c r="H242" i="72"/>
  <c r="H243" i="72"/>
  <c r="H244" i="72"/>
  <c r="H245" i="72"/>
  <c r="H246" i="72"/>
  <c r="H247" i="72"/>
  <c r="H249" i="72"/>
  <c r="H250" i="72"/>
  <c r="H251" i="72"/>
  <c r="H252" i="72"/>
  <c r="H253" i="72"/>
  <c r="H254" i="72"/>
  <c r="H255" i="72"/>
  <c r="H257" i="72"/>
  <c r="H258" i="72"/>
  <c r="H259" i="72"/>
  <c r="H260" i="72"/>
  <c r="H261" i="72"/>
  <c r="H262" i="72"/>
  <c r="H263" i="72"/>
  <c r="H265" i="72"/>
  <c r="H266" i="72"/>
  <c r="H267" i="72"/>
  <c r="H268" i="72"/>
  <c r="H269" i="72"/>
  <c r="H270" i="72"/>
  <c r="H271" i="72"/>
  <c r="H273" i="72"/>
  <c r="H274" i="72"/>
  <c r="H275" i="72"/>
  <c r="H276" i="72"/>
  <c r="H277" i="72"/>
  <c r="H278" i="72"/>
  <c r="H279" i="72"/>
  <c r="H281" i="72"/>
  <c r="H282" i="72"/>
  <c r="H283" i="72"/>
  <c r="H284" i="72"/>
  <c r="H285" i="72"/>
  <c r="H286" i="72"/>
  <c r="H287" i="72"/>
  <c r="H289" i="72"/>
  <c r="H290" i="72"/>
  <c r="H291" i="72"/>
  <c r="H292" i="72"/>
  <c r="H293" i="72"/>
  <c r="H294" i="72"/>
  <c r="H295" i="72"/>
  <c r="H297" i="72"/>
  <c r="H298" i="72"/>
  <c r="H299" i="72"/>
  <c r="H300" i="72"/>
  <c r="H301" i="72"/>
  <c r="H302" i="72"/>
  <c r="H303" i="72"/>
  <c r="H305" i="72"/>
  <c r="H306" i="72"/>
  <c r="H307" i="72"/>
  <c r="H308" i="72"/>
  <c r="H309" i="72"/>
  <c r="H310" i="72"/>
  <c r="H311" i="72"/>
  <c r="H313" i="72"/>
  <c r="H314" i="72"/>
  <c r="H315" i="72"/>
  <c r="H316" i="72"/>
  <c r="H317" i="72"/>
  <c r="H318" i="72"/>
  <c r="H319" i="72"/>
  <c r="H321" i="72"/>
  <c r="H322" i="72"/>
  <c r="H323" i="72"/>
  <c r="H324" i="72"/>
  <c r="H325" i="72"/>
  <c r="H326" i="72"/>
  <c r="H327" i="72"/>
  <c r="H329" i="72"/>
  <c r="H330" i="72"/>
  <c r="H331" i="72"/>
  <c r="H332" i="72"/>
  <c r="H333" i="72"/>
  <c r="H334" i="72"/>
  <c r="H335" i="72"/>
  <c r="H337" i="72"/>
  <c r="H338" i="72"/>
  <c r="H339" i="72"/>
  <c r="H340" i="72"/>
  <c r="H341" i="72"/>
  <c r="H342" i="72"/>
  <c r="H343" i="72"/>
  <c r="H345" i="72"/>
  <c r="H346" i="72"/>
  <c r="H347" i="72"/>
  <c r="H348" i="72"/>
  <c r="H349" i="72"/>
  <c r="H350" i="72"/>
  <c r="H351" i="72"/>
  <c r="H353" i="72"/>
  <c r="H354" i="72"/>
  <c r="H355" i="72"/>
  <c r="H356" i="72"/>
  <c r="H357" i="72"/>
  <c r="H358" i="72"/>
  <c r="H359" i="72"/>
  <c r="H361" i="72"/>
  <c r="H362" i="72"/>
  <c r="H363" i="72"/>
  <c r="H364" i="72"/>
  <c r="H365" i="72"/>
  <c r="H366" i="72"/>
  <c r="H367" i="72"/>
  <c r="H369" i="72"/>
  <c r="H370" i="72"/>
  <c r="H371" i="72"/>
  <c r="H372" i="72"/>
  <c r="H373" i="72"/>
  <c r="H374" i="72"/>
  <c r="H375" i="72"/>
  <c r="H377" i="72"/>
  <c r="H378" i="72"/>
  <c r="H379" i="72"/>
  <c r="H380" i="72"/>
  <c r="H381" i="72"/>
  <c r="H382" i="72"/>
  <c r="H383" i="72"/>
  <c r="H385" i="72"/>
  <c r="H386" i="72"/>
  <c r="H387" i="72"/>
  <c r="H388" i="72"/>
  <c r="H389" i="72"/>
  <c r="H390" i="72"/>
  <c r="H391" i="72"/>
  <c r="H393" i="72"/>
  <c r="H394" i="72"/>
  <c r="H395" i="72"/>
  <c r="H396" i="72"/>
  <c r="H397" i="72"/>
  <c r="H398" i="72"/>
  <c r="H399" i="72"/>
  <c r="H401" i="72"/>
  <c r="H402" i="72"/>
  <c r="H403" i="72"/>
  <c r="H404" i="72"/>
  <c r="H405" i="72"/>
  <c r="H406" i="72"/>
  <c r="H407" i="72"/>
  <c r="H409" i="72"/>
  <c r="H410" i="72"/>
  <c r="H411" i="72"/>
  <c r="H412" i="72"/>
  <c r="H413" i="72"/>
  <c r="H414" i="72"/>
  <c r="H415" i="72"/>
  <c r="H417" i="72"/>
  <c r="H418" i="72"/>
  <c r="H419" i="72"/>
  <c r="H420" i="72"/>
  <c r="H421" i="72"/>
  <c r="H422" i="72"/>
  <c r="H423" i="72"/>
  <c r="H425" i="72"/>
  <c r="H426" i="72"/>
  <c r="H427" i="72"/>
  <c r="H428" i="72"/>
  <c r="H429" i="72"/>
  <c r="H430" i="72"/>
  <c r="H431" i="72"/>
  <c r="H433" i="72"/>
  <c r="H434" i="72"/>
  <c r="H435" i="72"/>
  <c r="H436" i="72"/>
  <c r="H437" i="72"/>
  <c r="H438" i="72"/>
  <c r="H439" i="72"/>
  <c r="H441" i="72"/>
  <c r="H442" i="72"/>
  <c r="H443" i="72"/>
  <c r="H444" i="72"/>
  <c r="H445" i="72"/>
  <c r="H446" i="72"/>
  <c r="H447" i="72"/>
  <c r="H449" i="72"/>
  <c r="H450" i="72"/>
  <c r="H451" i="72"/>
  <c r="H452" i="72"/>
  <c r="H453" i="72"/>
  <c r="H454" i="72"/>
  <c r="H455" i="72"/>
  <c r="H457" i="72"/>
  <c r="H458" i="72"/>
  <c r="H459" i="72"/>
  <c r="H460" i="72"/>
  <c r="H461" i="72"/>
  <c r="H462" i="72"/>
  <c r="H463" i="72"/>
  <c r="H465" i="72"/>
  <c r="H466" i="72"/>
  <c r="H467" i="72"/>
  <c r="H468" i="72"/>
  <c r="H469" i="72"/>
  <c r="H470" i="72"/>
  <c r="H471" i="72"/>
  <c r="H473" i="72"/>
  <c r="H474" i="72"/>
  <c r="H475" i="72"/>
  <c r="H476" i="72"/>
  <c r="H477" i="72"/>
  <c r="H478" i="72"/>
  <c r="H479" i="72"/>
  <c r="H481" i="72"/>
  <c r="H482" i="72"/>
  <c r="H483" i="72"/>
  <c r="H484" i="72"/>
  <c r="H485" i="72"/>
  <c r="H486" i="72"/>
  <c r="H487" i="72"/>
  <c r="H489" i="72"/>
  <c r="H490" i="72"/>
  <c r="H491" i="72"/>
  <c r="H492" i="72"/>
  <c r="H493" i="72"/>
  <c r="H494" i="72"/>
  <c r="H495" i="72"/>
  <c r="H497" i="72"/>
  <c r="H498" i="72"/>
  <c r="H499" i="72"/>
  <c r="H500" i="72"/>
  <c r="H501" i="72"/>
  <c r="H502" i="72"/>
  <c r="H503" i="72"/>
  <c r="H505" i="72"/>
  <c r="H506" i="72"/>
  <c r="H507" i="72"/>
  <c r="H508" i="72"/>
  <c r="H509" i="72"/>
  <c r="H510" i="72"/>
  <c r="H511" i="72"/>
  <c r="H513" i="72"/>
  <c r="H514" i="72"/>
  <c r="H515" i="72"/>
  <c r="H516" i="72"/>
  <c r="H517" i="72"/>
  <c r="H518" i="72"/>
  <c r="H519" i="72"/>
  <c r="H521" i="72"/>
  <c r="H522" i="72"/>
  <c r="H523" i="72"/>
  <c r="H524" i="72"/>
  <c r="H525" i="72"/>
  <c r="H526" i="72"/>
  <c r="H527" i="72"/>
  <c r="H529" i="72"/>
  <c r="H530" i="72"/>
  <c r="H531" i="72"/>
  <c r="H532" i="72"/>
  <c r="H533" i="72"/>
  <c r="H534" i="72"/>
  <c r="H535" i="72"/>
  <c r="H537" i="72"/>
  <c r="H538" i="72"/>
  <c r="H539" i="72"/>
  <c r="H540" i="72"/>
  <c r="H541" i="72"/>
  <c r="H542" i="72"/>
  <c r="H543" i="72"/>
  <c r="H545" i="72"/>
  <c r="H546" i="72"/>
  <c r="H547" i="72"/>
  <c r="H548" i="72"/>
  <c r="H549" i="72"/>
  <c r="H550" i="72"/>
  <c r="H551" i="72"/>
  <c r="H553" i="72"/>
  <c r="H554" i="72"/>
  <c r="H555" i="72"/>
  <c r="H556" i="72"/>
  <c r="H557" i="72"/>
  <c r="H558" i="72"/>
  <c r="H559" i="72"/>
  <c r="H561" i="72"/>
  <c r="H562" i="72"/>
  <c r="H563" i="72"/>
  <c r="H564" i="72"/>
  <c r="H565" i="72"/>
  <c r="H566" i="72"/>
  <c r="H567" i="72"/>
  <c r="H569" i="72"/>
  <c r="H570" i="72"/>
  <c r="H571" i="72"/>
  <c r="H572" i="72"/>
  <c r="H573" i="72"/>
  <c r="H574" i="72"/>
  <c r="H575" i="72"/>
  <c r="H577" i="72"/>
  <c r="H578" i="72"/>
  <c r="H579" i="72"/>
  <c r="H580" i="72"/>
  <c r="H581" i="72"/>
  <c r="H582" i="72"/>
  <c r="H583" i="72"/>
  <c r="H585" i="72"/>
  <c r="H586" i="72"/>
  <c r="H587" i="72"/>
  <c r="H588" i="72"/>
  <c r="H589" i="72"/>
  <c r="H590" i="72"/>
  <c r="H591" i="72"/>
  <c r="H593" i="72"/>
  <c r="H594" i="72"/>
  <c r="H595" i="72"/>
  <c r="H596" i="72"/>
  <c r="H597" i="72"/>
  <c r="H598" i="72"/>
  <c r="H599" i="72"/>
  <c r="H601" i="72"/>
  <c r="H602" i="72"/>
  <c r="H603" i="72"/>
  <c r="H604" i="72"/>
  <c r="H605" i="72"/>
  <c r="H606" i="72"/>
  <c r="H607" i="72"/>
  <c r="H609" i="72"/>
  <c r="H610" i="72"/>
  <c r="H611" i="72"/>
  <c r="H612" i="72"/>
  <c r="H613" i="72"/>
  <c r="H614" i="72"/>
  <c r="H615" i="72"/>
  <c r="H617" i="72"/>
  <c r="H618" i="72"/>
  <c r="H619" i="72"/>
  <c r="H620" i="72"/>
  <c r="H621" i="72"/>
  <c r="H622" i="72"/>
  <c r="H623" i="72"/>
  <c r="H625" i="72"/>
  <c r="H626" i="72"/>
  <c r="H627" i="72"/>
  <c r="H628" i="72"/>
  <c r="H629" i="72"/>
  <c r="H630" i="72"/>
  <c r="H631" i="72"/>
  <c r="H633" i="72"/>
  <c r="H634" i="72"/>
  <c r="H635" i="72"/>
  <c r="H636" i="72"/>
  <c r="H637" i="72"/>
  <c r="H638" i="72"/>
  <c r="H639" i="72"/>
  <c r="H641" i="72"/>
  <c r="H642" i="72"/>
  <c r="H643" i="72"/>
  <c r="H644" i="72"/>
  <c r="H645" i="72"/>
  <c r="H646" i="72"/>
  <c r="H647" i="72"/>
  <c r="H649" i="72"/>
  <c r="H650" i="72"/>
  <c r="H651" i="72"/>
  <c r="H652" i="72"/>
  <c r="H653" i="72"/>
  <c r="H654" i="72"/>
  <c r="H655" i="72"/>
  <c r="H657" i="72"/>
  <c r="H658" i="72"/>
  <c r="H659" i="72"/>
  <c r="H660" i="72"/>
  <c r="H661" i="72"/>
  <c r="H662" i="72"/>
  <c r="H663" i="72"/>
  <c r="H665" i="72"/>
  <c r="H666" i="72"/>
  <c r="H667" i="72"/>
  <c r="H668" i="72"/>
  <c r="H669" i="72"/>
  <c r="H670" i="72"/>
  <c r="H671" i="72"/>
  <c r="H673" i="72"/>
  <c r="H674" i="72"/>
  <c r="H675" i="72"/>
  <c r="H676" i="72"/>
  <c r="H677" i="72"/>
  <c r="H678" i="72"/>
  <c r="H679" i="72"/>
  <c r="H681" i="72"/>
  <c r="H682" i="72"/>
  <c r="H683" i="72"/>
  <c r="H684" i="72"/>
  <c r="H685" i="72"/>
  <c r="H686" i="72"/>
  <c r="H687" i="72"/>
  <c r="H689" i="72"/>
  <c r="H690" i="72"/>
  <c r="H691" i="72"/>
  <c r="H692" i="72"/>
  <c r="H693" i="72"/>
  <c r="H694" i="72"/>
  <c r="H695" i="72"/>
  <c r="H697" i="72"/>
  <c r="H698" i="72"/>
  <c r="H699" i="72"/>
  <c r="H700" i="72"/>
  <c r="H701" i="72"/>
  <c r="H702" i="72"/>
  <c r="H703" i="72"/>
  <c r="H705" i="72"/>
  <c r="H706" i="72"/>
  <c r="H707" i="72"/>
  <c r="H708" i="72"/>
  <c r="H709" i="72"/>
  <c r="H710" i="72"/>
  <c r="H711" i="72"/>
  <c r="H713" i="72"/>
  <c r="H714" i="72"/>
  <c r="H715" i="72"/>
  <c r="H716" i="72"/>
  <c r="H717" i="72"/>
  <c r="H718" i="72"/>
  <c r="H719" i="72"/>
  <c r="H721" i="72"/>
  <c r="H722" i="72"/>
  <c r="H723" i="72"/>
  <c r="H724" i="72"/>
  <c r="H725" i="72"/>
  <c r="H726" i="72"/>
  <c r="H727" i="72"/>
  <c r="H729" i="72"/>
  <c r="H730" i="72"/>
  <c r="H731" i="72"/>
  <c r="H732" i="72"/>
  <c r="H733" i="72"/>
  <c r="H734" i="72"/>
  <c r="H735" i="72"/>
  <c r="H737" i="72"/>
  <c r="H738" i="72"/>
  <c r="H739" i="72"/>
  <c r="H740" i="72"/>
  <c r="H741" i="72"/>
  <c r="H742" i="72"/>
  <c r="H743" i="72"/>
  <c r="H745" i="72"/>
  <c r="H746" i="72"/>
  <c r="H747" i="72"/>
  <c r="H748" i="72"/>
  <c r="H749" i="72"/>
  <c r="H750" i="72"/>
  <c r="H751" i="72"/>
  <c r="H753" i="72"/>
  <c r="H754" i="72"/>
  <c r="H755" i="72"/>
  <c r="H756" i="72"/>
  <c r="H757" i="72"/>
  <c r="H758" i="72"/>
  <c r="H759" i="72"/>
  <c r="H761" i="72"/>
  <c r="H762" i="72"/>
  <c r="H763" i="72"/>
  <c r="H764" i="72"/>
  <c r="H765" i="72"/>
  <c r="H766" i="72"/>
  <c r="H767" i="72"/>
  <c r="H769" i="72"/>
  <c r="H770" i="72"/>
  <c r="H771" i="72"/>
  <c r="H772" i="72"/>
  <c r="H773" i="72"/>
  <c r="H774" i="72"/>
  <c r="H775" i="72"/>
  <c r="H777" i="72"/>
  <c r="H778" i="72"/>
  <c r="H779" i="72"/>
  <c r="H780" i="72"/>
  <c r="H781" i="72"/>
  <c r="H782" i="72"/>
  <c r="H783" i="72"/>
  <c r="H785" i="72"/>
  <c r="H786" i="72"/>
  <c r="H787" i="72"/>
  <c r="H788" i="72"/>
  <c r="H789" i="72"/>
  <c r="H790" i="72"/>
  <c r="H791" i="72"/>
  <c r="H793" i="72"/>
  <c r="H794" i="72"/>
  <c r="H795" i="72"/>
  <c r="H796" i="72"/>
  <c r="H797" i="72"/>
  <c r="H798" i="72"/>
  <c r="H799" i="72"/>
  <c r="H801" i="72"/>
  <c r="H802" i="72"/>
  <c r="H803" i="72"/>
  <c r="H804" i="72"/>
  <c r="H805" i="72"/>
  <c r="H806" i="72"/>
  <c r="H807" i="72"/>
  <c r="H809" i="72"/>
  <c r="H810" i="72"/>
  <c r="H811" i="72"/>
  <c r="H812" i="72"/>
  <c r="H813" i="72"/>
  <c r="H814" i="72"/>
  <c r="H815" i="72"/>
  <c r="H817" i="72"/>
  <c r="H818" i="72"/>
  <c r="H819" i="72"/>
  <c r="H820" i="72"/>
  <c r="H821" i="72"/>
  <c r="H822" i="72"/>
  <c r="H823" i="72"/>
  <c r="H825" i="72"/>
  <c r="H826" i="72"/>
  <c r="H827" i="72"/>
  <c r="H828" i="72"/>
  <c r="H829" i="72"/>
  <c r="H830" i="72"/>
  <c r="H831" i="72"/>
  <c r="H833" i="72"/>
  <c r="H834" i="72"/>
  <c r="H835" i="72"/>
  <c r="H836" i="72"/>
  <c r="H837" i="72"/>
  <c r="H838" i="72"/>
  <c r="H839" i="72"/>
  <c r="H841" i="72"/>
  <c r="H842" i="72"/>
  <c r="H843" i="72"/>
  <c r="H844" i="72"/>
  <c r="H845" i="72"/>
  <c r="H846" i="72"/>
  <c r="H847" i="72"/>
  <c r="H849" i="72"/>
  <c r="H850" i="72"/>
  <c r="H851" i="72"/>
  <c r="H852" i="72"/>
  <c r="H853" i="72"/>
  <c r="H854" i="72"/>
  <c r="H855" i="72"/>
  <c r="H857" i="72"/>
  <c r="H858" i="72"/>
  <c r="H859" i="72"/>
  <c r="H860" i="72"/>
  <c r="H861" i="72"/>
  <c r="H862" i="72"/>
  <c r="H863" i="72"/>
  <c r="H865" i="72"/>
  <c r="H866" i="72"/>
  <c r="H867" i="72"/>
  <c r="H868" i="72"/>
  <c r="H869" i="72"/>
  <c r="H870" i="72"/>
  <c r="H871" i="72"/>
  <c r="H873" i="72"/>
  <c r="H874" i="72"/>
  <c r="H875" i="72"/>
  <c r="H876" i="72"/>
  <c r="H877" i="72"/>
  <c r="H878" i="72"/>
  <c r="H879" i="72"/>
  <c r="H881" i="72"/>
  <c r="H882" i="72"/>
  <c r="H883" i="72"/>
  <c r="H884" i="72"/>
  <c r="H885" i="72"/>
  <c r="H886" i="72"/>
  <c r="H887" i="72"/>
  <c r="H889" i="72"/>
  <c r="H890" i="72"/>
  <c r="H891" i="72"/>
  <c r="H892" i="72"/>
  <c r="H893" i="72"/>
  <c r="H894" i="72"/>
  <c r="H895" i="72"/>
  <c r="H897" i="72"/>
  <c r="H898" i="72"/>
  <c r="H899" i="72"/>
  <c r="H900" i="72"/>
  <c r="H901" i="72"/>
  <c r="H902" i="72"/>
  <c r="H903" i="72"/>
  <c r="H905" i="72"/>
  <c r="H906" i="72"/>
  <c r="H907" i="72"/>
  <c r="H908" i="72"/>
  <c r="E2" i="71"/>
  <c r="E3" i="71"/>
  <c r="E4" i="71"/>
  <c r="E5" i="71"/>
  <c r="E6" i="71"/>
  <c r="E7" i="71"/>
  <c r="E8" i="71"/>
  <c r="E9" i="71"/>
  <c r="E10" i="71"/>
  <c r="E11" i="71"/>
  <c r="E12" i="71"/>
  <c r="E13" i="71"/>
  <c r="E14" i="71"/>
  <c r="E15" i="71"/>
  <c r="E16" i="71"/>
  <c r="E17" i="71"/>
  <c r="E18" i="71"/>
  <c r="E19" i="71"/>
  <c r="E20" i="71"/>
  <c r="E21" i="71"/>
  <c r="E22" i="71"/>
  <c r="E23" i="71"/>
  <c r="E24" i="71"/>
  <c r="E25" i="71"/>
  <c r="E26" i="71"/>
  <c r="E27" i="71"/>
  <c r="E28" i="71"/>
  <c r="E29" i="71"/>
  <c r="E30" i="71"/>
  <c r="E31" i="71"/>
  <c r="E32" i="71"/>
  <c r="E33" i="71"/>
  <c r="E34" i="71"/>
  <c r="E35" i="71"/>
  <c r="E36" i="71"/>
  <c r="E37" i="71"/>
  <c r="E38" i="71"/>
  <c r="E39" i="71"/>
  <c r="E40" i="71"/>
  <c r="E41" i="71"/>
  <c r="E42" i="71"/>
  <c r="E43" i="71"/>
  <c r="E44" i="71"/>
  <c r="E45" i="71"/>
  <c r="E46" i="71"/>
  <c r="E47" i="71"/>
  <c r="E48" i="71"/>
  <c r="E49" i="71"/>
  <c r="E50" i="71"/>
  <c r="E51" i="71"/>
  <c r="E52" i="71"/>
  <c r="E53" i="71"/>
  <c r="E54" i="71"/>
  <c r="D2" i="71"/>
  <c r="D3" i="71"/>
  <c r="D4" i="71"/>
  <c r="D5" i="71"/>
  <c r="D6" i="71"/>
  <c r="D7" i="71"/>
  <c r="D8" i="71"/>
  <c r="D9" i="71"/>
  <c r="D10" i="71"/>
  <c r="D11" i="71"/>
  <c r="D12" i="71"/>
  <c r="D13" i="71"/>
  <c r="D14" i="71"/>
  <c r="F14" i="71" s="1"/>
  <c r="D15" i="71"/>
  <c r="D16" i="71"/>
  <c r="D17" i="71"/>
  <c r="D18" i="71"/>
  <c r="D19" i="71"/>
  <c r="D20" i="71"/>
  <c r="D21" i="71"/>
  <c r="D22" i="71"/>
  <c r="F22" i="71" s="1"/>
  <c r="D23" i="71"/>
  <c r="D24" i="71"/>
  <c r="D25" i="71"/>
  <c r="D26" i="71"/>
  <c r="D27" i="71"/>
  <c r="D28" i="71"/>
  <c r="D29" i="71"/>
  <c r="D30" i="71"/>
  <c r="F30" i="71" s="1"/>
  <c r="D31" i="71"/>
  <c r="D32" i="71"/>
  <c r="D33" i="71"/>
  <c r="D34" i="71"/>
  <c r="D35" i="71"/>
  <c r="D36" i="71"/>
  <c r="D37" i="71"/>
  <c r="D38" i="71"/>
  <c r="F38" i="71" s="1"/>
  <c r="D39" i="71"/>
  <c r="D40" i="71"/>
  <c r="D41" i="71"/>
  <c r="D42" i="71"/>
  <c r="D43" i="71"/>
  <c r="D44" i="71"/>
  <c r="D45" i="71"/>
  <c r="D46" i="71"/>
  <c r="F46" i="71" s="1"/>
  <c r="D47" i="71"/>
  <c r="D48" i="71"/>
  <c r="D49" i="71"/>
  <c r="D50" i="71"/>
  <c r="D51" i="71"/>
  <c r="D52" i="71"/>
  <c r="D53" i="71"/>
  <c r="D54" i="71"/>
  <c r="F54" i="71" s="1"/>
  <c r="C2" i="71"/>
  <c r="C3" i="71"/>
  <c r="C4" i="71"/>
  <c r="C5" i="71"/>
  <c r="C6" i="71"/>
  <c r="C7" i="71"/>
  <c r="C8" i="71"/>
  <c r="C9" i="71"/>
  <c r="C10" i="71"/>
  <c r="C11" i="71"/>
  <c r="C12" i="71"/>
  <c r="C13" i="71"/>
  <c r="C14" i="71"/>
  <c r="C15" i="71"/>
  <c r="C16" i="71"/>
  <c r="C17" i="71"/>
  <c r="C18" i="71"/>
  <c r="C19" i="71"/>
  <c r="C20" i="71"/>
  <c r="C21" i="71"/>
  <c r="C22" i="71"/>
  <c r="C23" i="71"/>
  <c r="C24" i="71"/>
  <c r="C25" i="71"/>
  <c r="C26" i="71"/>
  <c r="C27" i="71"/>
  <c r="C28" i="71"/>
  <c r="C29" i="71"/>
  <c r="C30" i="71"/>
  <c r="C31" i="71"/>
  <c r="C32" i="71"/>
  <c r="C33" i="71"/>
  <c r="C34" i="71"/>
  <c r="C35" i="71"/>
  <c r="C36" i="71"/>
  <c r="C37" i="71"/>
  <c r="C38" i="71"/>
  <c r="C39" i="71"/>
  <c r="C40" i="71"/>
  <c r="C41" i="71"/>
  <c r="C42" i="71"/>
  <c r="C43" i="71"/>
  <c r="C44" i="71"/>
  <c r="C45" i="71"/>
  <c r="C46" i="71"/>
  <c r="C47" i="71"/>
  <c r="C48" i="71"/>
  <c r="C49" i="71"/>
  <c r="C50" i="71"/>
  <c r="C51" i="71"/>
  <c r="C52" i="71"/>
  <c r="C53" i="71"/>
  <c r="C54" i="71"/>
  <c r="I136" i="82" l="1"/>
  <c r="J136" i="82" s="1"/>
  <c r="D136" i="82"/>
  <c r="J133" i="82"/>
  <c r="K33" i="83"/>
  <c r="K35" i="83"/>
  <c r="G41" i="83"/>
  <c r="C43" i="83"/>
  <c r="E44" i="83"/>
  <c r="J26" i="83"/>
  <c r="C42" i="83"/>
  <c r="M42" i="83" s="1"/>
  <c r="E43" i="83"/>
  <c r="G44" i="83"/>
  <c r="M44" i="83" s="1"/>
  <c r="D29" i="83"/>
  <c r="M35" i="83"/>
  <c r="M34" i="83"/>
  <c r="H29" i="83"/>
  <c r="K29" i="83" s="1"/>
  <c r="D43" i="83"/>
  <c r="J43" i="83" s="1"/>
  <c r="F44" i="83"/>
  <c r="K34" i="83"/>
  <c r="M33" i="83"/>
  <c r="K42" i="83"/>
  <c r="J42" i="83"/>
  <c r="J44" i="83"/>
  <c r="M41" i="83"/>
  <c r="N34" i="83"/>
  <c r="F29" i="83"/>
  <c r="D41" i="83"/>
  <c r="N33" i="83"/>
  <c r="J29" i="83"/>
  <c r="F41" i="83"/>
  <c r="N35" i="83"/>
  <c r="H41" i="83"/>
  <c r="K41" i="83"/>
  <c r="M43" i="83"/>
  <c r="K44" i="83"/>
  <c r="N44" i="83"/>
  <c r="N43" i="83"/>
  <c r="N41" i="83"/>
  <c r="J27" i="83"/>
  <c r="M26" i="83"/>
  <c r="K26" i="83"/>
  <c r="G29" i="83"/>
  <c r="N27" i="83"/>
  <c r="N28" i="83"/>
  <c r="J28" i="83"/>
  <c r="M27" i="83"/>
  <c r="K25" i="83"/>
  <c r="M28" i="83"/>
  <c r="K28" i="83"/>
  <c r="N25" i="83"/>
  <c r="C29" i="83"/>
  <c r="J25" i="83"/>
  <c r="K27" i="83"/>
  <c r="N26" i="83"/>
  <c r="E29" i="83"/>
  <c r="M25" i="83"/>
  <c r="C8" i="83"/>
  <c r="E37" i="83"/>
  <c r="F37" i="83"/>
  <c r="J36" i="83"/>
  <c r="D37" i="83"/>
  <c r="D45" i="83" s="1"/>
  <c r="N36" i="83"/>
  <c r="J35" i="83"/>
  <c r="G37" i="83"/>
  <c r="H37" i="83"/>
  <c r="H45" i="83" s="1"/>
  <c r="J33" i="83"/>
  <c r="M36" i="83"/>
  <c r="J34" i="83"/>
  <c r="C121" i="82"/>
  <c r="C129" i="82" s="1"/>
  <c r="D125" i="82"/>
  <c r="F121" i="82"/>
  <c r="F129" i="82" s="1"/>
  <c r="K119" i="82"/>
  <c r="E121" i="82"/>
  <c r="E129" i="82" s="1"/>
  <c r="K118" i="82"/>
  <c r="D121" i="82"/>
  <c r="C125" i="82"/>
  <c r="H121" i="82"/>
  <c r="H129" i="82" s="1"/>
  <c r="I121" i="82"/>
  <c r="F5" i="83" s="1"/>
  <c r="I128" i="82"/>
  <c r="R46" i="82"/>
  <c r="S46" i="82" s="1"/>
  <c r="R43" i="82"/>
  <c r="S43" i="82" s="1"/>
  <c r="Q43" i="82"/>
  <c r="Q42" i="82"/>
  <c r="R42" i="82"/>
  <c r="S42" i="82" s="1"/>
  <c r="R44" i="82"/>
  <c r="S44" i="82" s="1"/>
  <c r="Q44" i="82"/>
  <c r="Q45" i="82"/>
  <c r="F48" i="71"/>
  <c r="F40" i="71"/>
  <c r="F32" i="71"/>
  <c r="F24" i="71"/>
  <c r="F16" i="71"/>
  <c r="F8" i="71"/>
  <c r="F50" i="71"/>
  <c r="F42" i="71"/>
  <c r="F34" i="71"/>
  <c r="F26" i="71"/>
  <c r="F18" i="71"/>
  <c r="F10" i="71"/>
  <c r="F47" i="71"/>
  <c r="F39" i="71"/>
  <c r="F31" i="71"/>
  <c r="F23" i="71"/>
  <c r="F15" i="71"/>
  <c r="F7" i="71"/>
  <c r="F6" i="71"/>
  <c r="F53" i="71"/>
  <c r="F45" i="71"/>
  <c r="F37" i="71"/>
  <c r="F29" i="71"/>
  <c r="F21" i="71"/>
  <c r="F13" i="71"/>
  <c r="F52" i="71"/>
  <c r="F44" i="71"/>
  <c r="F36" i="71"/>
  <c r="F28" i="71"/>
  <c r="F20" i="71"/>
  <c r="F12" i="71"/>
  <c r="F51" i="71"/>
  <c r="F43" i="71"/>
  <c r="F35" i="71"/>
  <c r="F27" i="71"/>
  <c r="F19" i="71"/>
  <c r="F11" i="71"/>
  <c r="F884" i="72"/>
  <c r="G884" i="72" s="1"/>
  <c r="F811" i="72"/>
  <c r="G811" i="72" s="1"/>
  <c r="F49" i="71"/>
  <c r="F41" i="71"/>
  <c r="F33" i="71"/>
  <c r="F25" i="71"/>
  <c r="F17" i="71"/>
  <c r="F9" i="71"/>
  <c r="F5" i="71"/>
  <c r="F4" i="71"/>
  <c r="F2" i="71"/>
  <c r="F907" i="72"/>
  <c r="G907" i="72" s="1"/>
  <c r="F875" i="72"/>
  <c r="G875" i="72" s="1"/>
  <c r="F843" i="72"/>
  <c r="G843" i="72" s="1"/>
  <c r="F835" i="72"/>
  <c r="G835" i="72" s="1"/>
  <c r="F827" i="72"/>
  <c r="G827" i="72" s="1"/>
  <c r="F819" i="72"/>
  <c r="G819" i="72" s="1"/>
  <c r="F803" i="72"/>
  <c r="G803" i="72" s="1"/>
  <c r="F787" i="72"/>
  <c r="G787" i="72" s="1"/>
  <c r="F779" i="72"/>
  <c r="G779" i="72" s="1"/>
  <c r="F771" i="72"/>
  <c r="G771" i="72" s="1"/>
  <c r="F747" i="72"/>
  <c r="G747" i="72" s="1"/>
  <c r="F739" i="72"/>
  <c r="G739" i="72" s="1"/>
  <c r="F715" i="72"/>
  <c r="G715" i="72" s="1"/>
  <c r="F707" i="72"/>
  <c r="G707" i="72" s="1"/>
  <c r="F699" i="72"/>
  <c r="G699" i="72" s="1"/>
  <c r="F691" i="72"/>
  <c r="G691" i="72" s="1"/>
  <c r="F683" i="72"/>
  <c r="G683" i="72" s="1"/>
  <c r="F670" i="72"/>
  <c r="G670" i="72" s="1"/>
  <c r="F2" i="72"/>
  <c r="F10" i="72"/>
  <c r="G10" i="72" s="1"/>
  <c r="F18" i="72"/>
  <c r="G18" i="72" s="1"/>
  <c r="F26" i="72"/>
  <c r="G26" i="72" s="1"/>
  <c r="F34" i="72"/>
  <c r="G34" i="72" s="1"/>
  <c r="F42" i="72"/>
  <c r="G42" i="72" s="1"/>
  <c r="F50" i="72"/>
  <c r="G50" i="72" s="1"/>
  <c r="F58" i="72"/>
  <c r="G58" i="72" s="1"/>
  <c r="F66" i="72"/>
  <c r="G66" i="72" s="1"/>
  <c r="F74" i="72"/>
  <c r="G74" i="72" s="1"/>
  <c r="F82" i="72"/>
  <c r="G82" i="72" s="1"/>
  <c r="F90" i="72"/>
  <c r="G90" i="72" s="1"/>
  <c r="F98" i="72"/>
  <c r="G98" i="72" s="1"/>
  <c r="F106" i="72"/>
  <c r="G106" i="72" s="1"/>
  <c r="F114" i="72"/>
  <c r="G114" i="72" s="1"/>
  <c r="F122" i="72"/>
  <c r="G122" i="72" s="1"/>
  <c r="F130" i="72"/>
  <c r="G130" i="72" s="1"/>
  <c r="F138" i="72"/>
  <c r="G138" i="72" s="1"/>
  <c r="F146" i="72"/>
  <c r="G146" i="72" s="1"/>
  <c r="F154" i="72"/>
  <c r="G154" i="72" s="1"/>
  <c r="F162" i="72"/>
  <c r="G162" i="72" s="1"/>
  <c r="F170" i="72"/>
  <c r="G170" i="72" s="1"/>
  <c r="F178" i="72"/>
  <c r="G178" i="72" s="1"/>
  <c r="F186" i="72"/>
  <c r="G186" i="72" s="1"/>
  <c r="F194" i="72"/>
  <c r="G194" i="72" s="1"/>
  <c r="F202" i="72"/>
  <c r="G202" i="72" s="1"/>
  <c r="F210" i="72"/>
  <c r="G210" i="72" s="1"/>
  <c r="F218" i="72"/>
  <c r="G218" i="72" s="1"/>
  <c r="F226" i="72"/>
  <c r="G226" i="72" s="1"/>
  <c r="F234" i="72"/>
  <c r="G234" i="72" s="1"/>
  <c r="F242" i="72"/>
  <c r="G242" i="72" s="1"/>
  <c r="F250" i="72"/>
  <c r="G250" i="72" s="1"/>
  <c r="F258" i="72"/>
  <c r="G258" i="72" s="1"/>
  <c r="F266" i="72"/>
  <c r="G266" i="72" s="1"/>
  <c r="F274" i="72"/>
  <c r="G274" i="72" s="1"/>
  <c r="F282" i="72"/>
  <c r="G282" i="72" s="1"/>
  <c r="F290" i="72"/>
  <c r="G290" i="72" s="1"/>
  <c r="F298" i="72"/>
  <c r="G298" i="72" s="1"/>
  <c r="F306" i="72"/>
  <c r="G306" i="72" s="1"/>
  <c r="F314" i="72"/>
  <c r="G314" i="72" s="1"/>
  <c r="F322" i="72"/>
  <c r="G322" i="72" s="1"/>
  <c r="F330" i="72"/>
  <c r="G330" i="72" s="1"/>
  <c r="F338" i="72"/>
  <c r="G338" i="72" s="1"/>
  <c r="F346" i="72"/>
  <c r="G346" i="72" s="1"/>
  <c r="F354" i="72"/>
  <c r="G354" i="72" s="1"/>
  <c r="F362" i="72"/>
  <c r="G362" i="72" s="1"/>
  <c r="F370" i="72"/>
  <c r="G370" i="72" s="1"/>
  <c r="F378" i="72"/>
  <c r="G378" i="72" s="1"/>
  <c r="F386" i="72"/>
  <c r="G386" i="72" s="1"/>
  <c r="F394" i="72"/>
  <c r="G394" i="72" s="1"/>
  <c r="F402" i="72"/>
  <c r="G402" i="72" s="1"/>
  <c r="F410" i="72"/>
  <c r="G410" i="72" s="1"/>
  <c r="F418" i="72"/>
  <c r="G418" i="72" s="1"/>
  <c r="F426" i="72"/>
  <c r="G426" i="72" s="1"/>
  <c r="F434" i="72"/>
  <c r="G434" i="72" s="1"/>
  <c r="F442" i="72"/>
  <c r="G442" i="72" s="1"/>
  <c r="F450" i="72"/>
  <c r="G450" i="72" s="1"/>
  <c r="F458" i="72"/>
  <c r="G458" i="72" s="1"/>
  <c r="F466" i="72"/>
  <c r="G466" i="72" s="1"/>
  <c r="F474" i="72"/>
  <c r="G474" i="72" s="1"/>
  <c r="F482" i="72"/>
  <c r="G482" i="72" s="1"/>
  <c r="F490" i="72"/>
  <c r="G490" i="72" s="1"/>
  <c r="F498" i="72"/>
  <c r="G498" i="72" s="1"/>
  <c r="F506" i="72"/>
  <c r="G506" i="72" s="1"/>
  <c r="F514" i="72"/>
  <c r="G514" i="72" s="1"/>
  <c r="F522" i="72"/>
  <c r="G522" i="72" s="1"/>
  <c r="F530" i="72"/>
  <c r="G530" i="72" s="1"/>
  <c r="F538" i="72"/>
  <c r="G538" i="72" s="1"/>
  <c r="F546" i="72"/>
  <c r="G546" i="72" s="1"/>
  <c r="F554" i="72"/>
  <c r="G554" i="72" s="1"/>
  <c r="F562" i="72"/>
  <c r="G562" i="72" s="1"/>
  <c r="F570" i="72"/>
  <c r="G570" i="72" s="1"/>
  <c r="F578" i="72"/>
  <c r="G578" i="72" s="1"/>
  <c r="F586" i="72"/>
  <c r="G586" i="72" s="1"/>
  <c r="F594" i="72"/>
  <c r="G594" i="72" s="1"/>
  <c r="F602" i="72"/>
  <c r="G602" i="72" s="1"/>
  <c r="F610" i="72"/>
  <c r="G610" i="72" s="1"/>
  <c r="F618" i="72"/>
  <c r="G618" i="72" s="1"/>
  <c r="F626" i="72"/>
  <c r="G626" i="72" s="1"/>
  <c r="F634" i="72"/>
  <c r="G634" i="72" s="1"/>
  <c r="F642" i="72"/>
  <c r="G642" i="72" s="1"/>
  <c r="F650" i="72"/>
  <c r="G650" i="72" s="1"/>
  <c r="F658" i="72"/>
  <c r="G658" i="72" s="1"/>
  <c r="F666" i="72"/>
  <c r="G666" i="72" s="1"/>
  <c r="F674" i="72"/>
  <c r="G674" i="72" s="1"/>
  <c r="F3" i="72"/>
  <c r="G3" i="72" s="1"/>
  <c r="F11" i="72"/>
  <c r="G11" i="72" s="1"/>
  <c r="F19" i="72"/>
  <c r="G19" i="72" s="1"/>
  <c r="F27" i="72"/>
  <c r="G27" i="72" s="1"/>
  <c r="F35" i="72"/>
  <c r="G35" i="72" s="1"/>
  <c r="F43" i="72"/>
  <c r="G43" i="72" s="1"/>
  <c r="F51" i="72"/>
  <c r="G51" i="72" s="1"/>
  <c r="F59" i="72"/>
  <c r="G59" i="72" s="1"/>
  <c r="F67" i="72"/>
  <c r="G67" i="72" s="1"/>
  <c r="F75" i="72"/>
  <c r="G75" i="72" s="1"/>
  <c r="F83" i="72"/>
  <c r="G83" i="72" s="1"/>
  <c r="F91" i="72"/>
  <c r="G91" i="72" s="1"/>
  <c r="F99" i="72"/>
  <c r="G99" i="72" s="1"/>
  <c r="F107" i="72"/>
  <c r="G107" i="72" s="1"/>
  <c r="F115" i="72"/>
  <c r="G115" i="72" s="1"/>
  <c r="F123" i="72"/>
  <c r="G123" i="72" s="1"/>
  <c r="F131" i="72"/>
  <c r="G131" i="72" s="1"/>
  <c r="F139" i="72"/>
  <c r="G139" i="72" s="1"/>
  <c r="F147" i="72"/>
  <c r="G147" i="72" s="1"/>
  <c r="F155" i="72"/>
  <c r="G155" i="72" s="1"/>
  <c r="F163" i="72"/>
  <c r="G163" i="72" s="1"/>
  <c r="F171" i="72"/>
  <c r="G171" i="72" s="1"/>
  <c r="F179" i="72"/>
  <c r="G179" i="72" s="1"/>
  <c r="F187" i="72"/>
  <c r="G187" i="72" s="1"/>
  <c r="F195" i="72"/>
  <c r="G195" i="72" s="1"/>
  <c r="F203" i="72"/>
  <c r="G203" i="72" s="1"/>
  <c r="F211" i="72"/>
  <c r="G211" i="72" s="1"/>
  <c r="F219" i="72"/>
  <c r="G219" i="72" s="1"/>
  <c r="F227" i="72"/>
  <c r="G227" i="72" s="1"/>
  <c r="F235" i="72"/>
  <c r="G235" i="72" s="1"/>
  <c r="F243" i="72"/>
  <c r="G243" i="72" s="1"/>
  <c r="F251" i="72"/>
  <c r="G251" i="72" s="1"/>
  <c r="F259" i="72"/>
  <c r="G259" i="72" s="1"/>
  <c r="F267" i="72"/>
  <c r="G267" i="72" s="1"/>
  <c r="F275" i="72"/>
  <c r="G275" i="72" s="1"/>
  <c r="F283" i="72"/>
  <c r="G283" i="72" s="1"/>
  <c r="F291" i="72"/>
  <c r="G291" i="72" s="1"/>
  <c r="F299" i="72"/>
  <c r="G299" i="72" s="1"/>
  <c r="F307" i="72"/>
  <c r="G307" i="72" s="1"/>
  <c r="F315" i="72"/>
  <c r="G315" i="72" s="1"/>
  <c r="F323" i="72"/>
  <c r="G323" i="72" s="1"/>
  <c r="F331" i="72"/>
  <c r="G331" i="72" s="1"/>
  <c r="F339" i="72"/>
  <c r="G339" i="72" s="1"/>
  <c r="F347" i="72"/>
  <c r="G347" i="72" s="1"/>
  <c r="F355" i="72"/>
  <c r="G355" i="72" s="1"/>
  <c r="F363" i="72"/>
  <c r="G363" i="72" s="1"/>
  <c r="F371" i="72"/>
  <c r="G371" i="72" s="1"/>
  <c r="F379" i="72"/>
  <c r="G379" i="72" s="1"/>
  <c r="F387" i="72"/>
  <c r="G387" i="72" s="1"/>
  <c r="F395" i="72"/>
  <c r="G395" i="72" s="1"/>
  <c r="F403" i="72"/>
  <c r="G403" i="72" s="1"/>
  <c r="F411" i="72"/>
  <c r="G411" i="72" s="1"/>
  <c r="F419" i="72"/>
  <c r="G419" i="72" s="1"/>
  <c r="F427" i="72"/>
  <c r="G427" i="72" s="1"/>
  <c r="F435" i="72"/>
  <c r="G435" i="72" s="1"/>
  <c r="F443" i="72"/>
  <c r="G443" i="72" s="1"/>
  <c r="F451" i="72"/>
  <c r="G451" i="72" s="1"/>
  <c r="F459" i="72"/>
  <c r="G459" i="72" s="1"/>
  <c r="F467" i="72"/>
  <c r="G467" i="72" s="1"/>
  <c r="F475" i="72"/>
  <c r="G475" i="72" s="1"/>
  <c r="F483" i="72"/>
  <c r="G483" i="72" s="1"/>
  <c r="F491" i="72"/>
  <c r="G491" i="72" s="1"/>
  <c r="F499" i="72"/>
  <c r="G499" i="72" s="1"/>
  <c r="F507" i="72"/>
  <c r="G507" i="72" s="1"/>
  <c r="F515" i="72"/>
  <c r="G515" i="72" s="1"/>
  <c r="F523" i="72"/>
  <c r="G523" i="72" s="1"/>
  <c r="F531" i="72"/>
  <c r="G531" i="72" s="1"/>
  <c r="F539" i="72"/>
  <c r="G539" i="72" s="1"/>
  <c r="F547" i="72"/>
  <c r="G547" i="72" s="1"/>
  <c r="F555" i="72"/>
  <c r="G555" i="72" s="1"/>
  <c r="F563" i="72"/>
  <c r="G563" i="72" s="1"/>
  <c r="F571" i="72"/>
  <c r="G571" i="72" s="1"/>
  <c r="F579" i="72"/>
  <c r="G579" i="72" s="1"/>
  <c r="F587" i="72"/>
  <c r="G587" i="72" s="1"/>
  <c r="F595" i="72"/>
  <c r="G595" i="72" s="1"/>
  <c r="F603" i="72"/>
  <c r="G603" i="72" s="1"/>
  <c r="F611" i="72"/>
  <c r="G611" i="72" s="1"/>
  <c r="F619" i="72"/>
  <c r="G619" i="72" s="1"/>
  <c r="F627" i="72"/>
  <c r="G627" i="72" s="1"/>
  <c r="F635" i="72"/>
  <c r="G635" i="72" s="1"/>
  <c r="F643" i="72"/>
  <c r="G643" i="72" s="1"/>
  <c r="F651" i="72"/>
  <c r="G651" i="72" s="1"/>
  <c r="F4" i="72"/>
  <c r="G4" i="72" s="1"/>
  <c r="F12" i="72"/>
  <c r="G12" i="72" s="1"/>
  <c r="F20" i="72"/>
  <c r="G20" i="72" s="1"/>
  <c r="F28" i="72"/>
  <c r="G28" i="72" s="1"/>
  <c r="F36" i="72"/>
  <c r="G36" i="72" s="1"/>
  <c r="F44" i="72"/>
  <c r="G44" i="72" s="1"/>
  <c r="F52" i="72"/>
  <c r="G52" i="72" s="1"/>
  <c r="F60" i="72"/>
  <c r="G60" i="72" s="1"/>
  <c r="F68" i="72"/>
  <c r="G68" i="72" s="1"/>
  <c r="F76" i="72"/>
  <c r="G76" i="72" s="1"/>
  <c r="F84" i="72"/>
  <c r="G84" i="72" s="1"/>
  <c r="F92" i="72"/>
  <c r="G92" i="72" s="1"/>
  <c r="F100" i="72"/>
  <c r="G100" i="72" s="1"/>
  <c r="F108" i="72"/>
  <c r="G108" i="72" s="1"/>
  <c r="F116" i="72"/>
  <c r="G116" i="72" s="1"/>
  <c r="F124" i="72"/>
  <c r="G124" i="72" s="1"/>
  <c r="F132" i="72"/>
  <c r="G132" i="72" s="1"/>
  <c r="F140" i="72"/>
  <c r="G140" i="72" s="1"/>
  <c r="F148" i="72"/>
  <c r="G148" i="72" s="1"/>
  <c r="F156" i="72"/>
  <c r="G156" i="72" s="1"/>
  <c r="F164" i="72"/>
  <c r="G164" i="72" s="1"/>
  <c r="F172" i="72"/>
  <c r="G172" i="72" s="1"/>
  <c r="F180" i="72"/>
  <c r="G180" i="72" s="1"/>
  <c r="F188" i="72"/>
  <c r="G188" i="72" s="1"/>
  <c r="F196" i="72"/>
  <c r="G196" i="72" s="1"/>
  <c r="F204" i="72"/>
  <c r="G204" i="72" s="1"/>
  <c r="F212" i="72"/>
  <c r="G212" i="72" s="1"/>
  <c r="F220" i="72"/>
  <c r="G220" i="72" s="1"/>
  <c r="F228" i="72"/>
  <c r="G228" i="72" s="1"/>
  <c r="F236" i="72"/>
  <c r="G236" i="72" s="1"/>
  <c r="F244" i="72"/>
  <c r="G244" i="72" s="1"/>
  <c r="F252" i="72"/>
  <c r="G252" i="72" s="1"/>
  <c r="F260" i="72"/>
  <c r="G260" i="72" s="1"/>
  <c r="F268" i="72"/>
  <c r="G268" i="72" s="1"/>
  <c r="F276" i="72"/>
  <c r="G276" i="72" s="1"/>
  <c r="F284" i="72"/>
  <c r="G284" i="72" s="1"/>
  <c r="F292" i="72"/>
  <c r="G292" i="72" s="1"/>
  <c r="F300" i="72"/>
  <c r="G300" i="72" s="1"/>
  <c r="F308" i="72"/>
  <c r="G308" i="72" s="1"/>
  <c r="F316" i="72"/>
  <c r="G316" i="72" s="1"/>
  <c r="F324" i="72"/>
  <c r="G324" i="72" s="1"/>
  <c r="F332" i="72"/>
  <c r="G332" i="72" s="1"/>
  <c r="F340" i="72"/>
  <c r="G340" i="72" s="1"/>
  <c r="F348" i="72"/>
  <c r="G348" i="72" s="1"/>
  <c r="F356" i="72"/>
  <c r="G356" i="72" s="1"/>
  <c r="F364" i="72"/>
  <c r="G364" i="72" s="1"/>
  <c r="F372" i="72"/>
  <c r="G372" i="72" s="1"/>
  <c r="F380" i="72"/>
  <c r="G380" i="72" s="1"/>
  <c r="F388" i="72"/>
  <c r="G388" i="72" s="1"/>
  <c r="F396" i="72"/>
  <c r="G396" i="72" s="1"/>
  <c r="F404" i="72"/>
  <c r="G404" i="72" s="1"/>
  <c r="F412" i="72"/>
  <c r="G412" i="72" s="1"/>
  <c r="F420" i="72"/>
  <c r="G420" i="72" s="1"/>
  <c r="F428" i="72"/>
  <c r="G428" i="72" s="1"/>
  <c r="F436" i="72"/>
  <c r="G436" i="72" s="1"/>
  <c r="F444" i="72"/>
  <c r="G444" i="72" s="1"/>
  <c r="F452" i="72"/>
  <c r="G452" i="72" s="1"/>
  <c r="F460" i="72"/>
  <c r="G460" i="72" s="1"/>
  <c r="F468" i="72"/>
  <c r="G468" i="72" s="1"/>
  <c r="F476" i="72"/>
  <c r="G476" i="72" s="1"/>
  <c r="F484" i="72"/>
  <c r="G484" i="72" s="1"/>
  <c r="F492" i="72"/>
  <c r="G492" i="72" s="1"/>
  <c r="F500" i="72"/>
  <c r="G500" i="72" s="1"/>
  <c r="F508" i="72"/>
  <c r="G508" i="72" s="1"/>
  <c r="F516" i="72"/>
  <c r="G516" i="72" s="1"/>
  <c r="F524" i="72"/>
  <c r="G524" i="72" s="1"/>
  <c r="F532" i="72"/>
  <c r="G532" i="72" s="1"/>
  <c r="F540" i="72"/>
  <c r="G540" i="72" s="1"/>
  <c r="F548" i="72"/>
  <c r="G548" i="72" s="1"/>
  <c r="F556" i="72"/>
  <c r="G556" i="72" s="1"/>
  <c r="F564" i="72"/>
  <c r="G564" i="72" s="1"/>
  <c r="F572" i="72"/>
  <c r="G572" i="72" s="1"/>
  <c r="F580" i="72"/>
  <c r="G580" i="72" s="1"/>
  <c r="F588" i="72"/>
  <c r="G588" i="72" s="1"/>
  <c r="F596" i="72"/>
  <c r="G596" i="72" s="1"/>
  <c r="F604" i="72"/>
  <c r="G604" i="72" s="1"/>
  <c r="F612" i="72"/>
  <c r="G612" i="72" s="1"/>
  <c r="F620" i="72"/>
  <c r="G620" i="72" s="1"/>
  <c r="F628" i="72"/>
  <c r="G628" i="72" s="1"/>
  <c r="F636" i="72"/>
  <c r="G636" i="72" s="1"/>
  <c r="F644" i="72"/>
  <c r="G644" i="72" s="1"/>
  <c r="F652" i="72"/>
  <c r="G652" i="72" s="1"/>
  <c r="F5" i="72"/>
  <c r="G5" i="72" s="1"/>
  <c r="F13" i="72"/>
  <c r="G13" i="72" s="1"/>
  <c r="F21" i="72"/>
  <c r="G21" i="72" s="1"/>
  <c r="F29" i="72"/>
  <c r="G29" i="72" s="1"/>
  <c r="F37" i="72"/>
  <c r="G37" i="72" s="1"/>
  <c r="F45" i="72"/>
  <c r="G45" i="72" s="1"/>
  <c r="F53" i="72"/>
  <c r="G53" i="72" s="1"/>
  <c r="F61" i="72"/>
  <c r="G61" i="72" s="1"/>
  <c r="F69" i="72"/>
  <c r="G69" i="72" s="1"/>
  <c r="F77" i="72"/>
  <c r="G77" i="72" s="1"/>
  <c r="F85" i="72"/>
  <c r="G85" i="72" s="1"/>
  <c r="F93" i="72"/>
  <c r="G93" i="72" s="1"/>
  <c r="F101" i="72"/>
  <c r="G101" i="72" s="1"/>
  <c r="F109" i="72"/>
  <c r="G109" i="72" s="1"/>
  <c r="F117" i="72"/>
  <c r="G117" i="72" s="1"/>
  <c r="F125" i="72"/>
  <c r="G125" i="72" s="1"/>
  <c r="F133" i="72"/>
  <c r="G133" i="72" s="1"/>
  <c r="F141" i="72"/>
  <c r="G141" i="72" s="1"/>
  <c r="F149" i="72"/>
  <c r="G149" i="72" s="1"/>
  <c r="F157" i="72"/>
  <c r="G157" i="72" s="1"/>
  <c r="F165" i="72"/>
  <c r="G165" i="72" s="1"/>
  <c r="F173" i="72"/>
  <c r="G173" i="72" s="1"/>
  <c r="F181" i="72"/>
  <c r="G181" i="72" s="1"/>
  <c r="F189" i="72"/>
  <c r="G189" i="72" s="1"/>
  <c r="F197" i="72"/>
  <c r="G197" i="72" s="1"/>
  <c r="F205" i="72"/>
  <c r="G205" i="72" s="1"/>
  <c r="F213" i="72"/>
  <c r="G213" i="72" s="1"/>
  <c r="F221" i="72"/>
  <c r="G221" i="72" s="1"/>
  <c r="F229" i="72"/>
  <c r="G229" i="72" s="1"/>
  <c r="F237" i="72"/>
  <c r="G237" i="72" s="1"/>
  <c r="F245" i="72"/>
  <c r="G245" i="72" s="1"/>
  <c r="F253" i="72"/>
  <c r="G253" i="72" s="1"/>
  <c r="F261" i="72"/>
  <c r="G261" i="72" s="1"/>
  <c r="F269" i="72"/>
  <c r="G269" i="72" s="1"/>
  <c r="F277" i="72"/>
  <c r="G277" i="72" s="1"/>
  <c r="F285" i="72"/>
  <c r="G285" i="72" s="1"/>
  <c r="F293" i="72"/>
  <c r="G293" i="72" s="1"/>
  <c r="F301" i="72"/>
  <c r="G301" i="72" s="1"/>
  <c r="F309" i="72"/>
  <c r="G309" i="72" s="1"/>
  <c r="F317" i="72"/>
  <c r="G317" i="72" s="1"/>
  <c r="F325" i="72"/>
  <c r="G325" i="72" s="1"/>
  <c r="F333" i="72"/>
  <c r="G333" i="72" s="1"/>
  <c r="F341" i="72"/>
  <c r="G341" i="72" s="1"/>
  <c r="F349" i="72"/>
  <c r="G349" i="72" s="1"/>
  <c r="F357" i="72"/>
  <c r="G357" i="72" s="1"/>
  <c r="F365" i="72"/>
  <c r="G365" i="72" s="1"/>
  <c r="F373" i="72"/>
  <c r="G373" i="72" s="1"/>
  <c r="F381" i="72"/>
  <c r="G381" i="72" s="1"/>
  <c r="F389" i="72"/>
  <c r="G389" i="72" s="1"/>
  <c r="F397" i="72"/>
  <c r="G397" i="72" s="1"/>
  <c r="F405" i="72"/>
  <c r="G405" i="72" s="1"/>
  <c r="F413" i="72"/>
  <c r="G413" i="72" s="1"/>
  <c r="F421" i="72"/>
  <c r="G421" i="72" s="1"/>
  <c r="F429" i="72"/>
  <c r="G429" i="72" s="1"/>
  <c r="F437" i="72"/>
  <c r="G437" i="72" s="1"/>
  <c r="F445" i="72"/>
  <c r="G445" i="72" s="1"/>
  <c r="F453" i="72"/>
  <c r="G453" i="72" s="1"/>
  <c r="F461" i="72"/>
  <c r="G461" i="72" s="1"/>
  <c r="F469" i="72"/>
  <c r="G469" i="72" s="1"/>
  <c r="F477" i="72"/>
  <c r="G477" i="72" s="1"/>
  <c r="F485" i="72"/>
  <c r="G485" i="72" s="1"/>
  <c r="F493" i="72"/>
  <c r="G493" i="72" s="1"/>
  <c r="F501" i="72"/>
  <c r="G501" i="72" s="1"/>
  <c r="F509" i="72"/>
  <c r="G509" i="72" s="1"/>
  <c r="F517" i="72"/>
  <c r="G517" i="72" s="1"/>
  <c r="F525" i="72"/>
  <c r="G525" i="72" s="1"/>
  <c r="F533" i="72"/>
  <c r="G533" i="72" s="1"/>
  <c r="F541" i="72"/>
  <c r="G541" i="72" s="1"/>
  <c r="F549" i="72"/>
  <c r="G549" i="72" s="1"/>
  <c r="F557" i="72"/>
  <c r="G557" i="72" s="1"/>
  <c r="F565" i="72"/>
  <c r="G565" i="72" s="1"/>
  <c r="F573" i="72"/>
  <c r="G573" i="72" s="1"/>
  <c r="F581" i="72"/>
  <c r="G581" i="72" s="1"/>
  <c r="F589" i="72"/>
  <c r="G589" i="72" s="1"/>
  <c r="F597" i="72"/>
  <c r="G597" i="72" s="1"/>
  <c r="F605" i="72"/>
  <c r="G605" i="72" s="1"/>
  <c r="F613" i="72"/>
  <c r="G613" i="72" s="1"/>
  <c r="F621" i="72"/>
  <c r="G621" i="72" s="1"/>
  <c r="F629" i="72"/>
  <c r="G629" i="72" s="1"/>
  <c r="F637" i="72"/>
  <c r="G637" i="72" s="1"/>
  <c r="F645" i="72"/>
  <c r="G645" i="72" s="1"/>
  <c r="F653" i="72"/>
  <c r="G653" i="72" s="1"/>
  <c r="F661" i="72"/>
  <c r="G661" i="72" s="1"/>
  <c r="F669" i="72"/>
  <c r="G669" i="72" s="1"/>
  <c r="F677" i="72"/>
  <c r="G677" i="72" s="1"/>
  <c r="F6" i="72"/>
  <c r="G6" i="72" s="1"/>
  <c r="F14" i="72"/>
  <c r="G14" i="72" s="1"/>
  <c r="F22" i="72"/>
  <c r="G22" i="72" s="1"/>
  <c r="F30" i="72"/>
  <c r="G30" i="72" s="1"/>
  <c r="F38" i="72"/>
  <c r="G38" i="72" s="1"/>
  <c r="F46" i="72"/>
  <c r="G46" i="72" s="1"/>
  <c r="F54" i="72"/>
  <c r="G54" i="72" s="1"/>
  <c r="F62" i="72"/>
  <c r="G62" i="72" s="1"/>
  <c r="F70" i="72"/>
  <c r="G70" i="72" s="1"/>
  <c r="F78" i="72"/>
  <c r="G78" i="72" s="1"/>
  <c r="F86" i="72"/>
  <c r="G86" i="72" s="1"/>
  <c r="F94" i="72"/>
  <c r="G94" i="72" s="1"/>
  <c r="F102" i="72"/>
  <c r="G102" i="72" s="1"/>
  <c r="F110" i="72"/>
  <c r="G110" i="72" s="1"/>
  <c r="F118" i="72"/>
  <c r="G118" i="72" s="1"/>
  <c r="F126" i="72"/>
  <c r="G126" i="72" s="1"/>
  <c r="F134" i="72"/>
  <c r="G134" i="72" s="1"/>
  <c r="F142" i="72"/>
  <c r="G142" i="72" s="1"/>
  <c r="F150" i="72"/>
  <c r="G150" i="72" s="1"/>
  <c r="F158" i="72"/>
  <c r="G158" i="72" s="1"/>
  <c r="F166" i="72"/>
  <c r="G166" i="72" s="1"/>
  <c r="F174" i="72"/>
  <c r="G174" i="72" s="1"/>
  <c r="F182" i="72"/>
  <c r="G182" i="72" s="1"/>
  <c r="F190" i="72"/>
  <c r="G190" i="72" s="1"/>
  <c r="F198" i="72"/>
  <c r="G198" i="72" s="1"/>
  <c r="F206" i="72"/>
  <c r="G206" i="72" s="1"/>
  <c r="F214" i="72"/>
  <c r="G214" i="72" s="1"/>
  <c r="F222" i="72"/>
  <c r="G222" i="72" s="1"/>
  <c r="F230" i="72"/>
  <c r="G230" i="72" s="1"/>
  <c r="F238" i="72"/>
  <c r="G238" i="72" s="1"/>
  <c r="F246" i="72"/>
  <c r="G246" i="72" s="1"/>
  <c r="F254" i="72"/>
  <c r="G254" i="72" s="1"/>
  <c r="F262" i="72"/>
  <c r="G262" i="72" s="1"/>
  <c r="F270" i="72"/>
  <c r="G270" i="72" s="1"/>
  <c r="F278" i="72"/>
  <c r="G278" i="72" s="1"/>
  <c r="F286" i="72"/>
  <c r="G286" i="72" s="1"/>
  <c r="F294" i="72"/>
  <c r="G294" i="72" s="1"/>
  <c r="F302" i="72"/>
  <c r="G302" i="72" s="1"/>
  <c r="F310" i="72"/>
  <c r="G310" i="72" s="1"/>
  <c r="F318" i="72"/>
  <c r="G318" i="72" s="1"/>
  <c r="F326" i="72"/>
  <c r="G326" i="72" s="1"/>
  <c r="F334" i="72"/>
  <c r="G334" i="72" s="1"/>
  <c r="F342" i="72"/>
  <c r="G342" i="72" s="1"/>
  <c r="F350" i="72"/>
  <c r="G350" i="72" s="1"/>
  <c r="F358" i="72"/>
  <c r="G358" i="72" s="1"/>
  <c r="F366" i="72"/>
  <c r="G366" i="72" s="1"/>
  <c r="F374" i="72"/>
  <c r="G374" i="72" s="1"/>
  <c r="F382" i="72"/>
  <c r="G382" i="72" s="1"/>
  <c r="F390" i="72"/>
  <c r="G390" i="72" s="1"/>
  <c r="F398" i="72"/>
  <c r="G398" i="72" s="1"/>
  <c r="F406" i="72"/>
  <c r="G406" i="72" s="1"/>
  <c r="F414" i="72"/>
  <c r="G414" i="72" s="1"/>
  <c r="F422" i="72"/>
  <c r="G422" i="72" s="1"/>
  <c r="F430" i="72"/>
  <c r="G430" i="72" s="1"/>
  <c r="F438" i="72"/>
  <c r="G438" i="72" s="1"/>
  <c r="F446" i="72"/>
  <c r="G446" i="72" s="1"/>
  <c r="F454" i="72"/>
  <c r="G454" i="72" s="1"/>
  <c r="F462" i="72"/>
  <c r="G462" i="72" s="1"/>
  <c r="F470" i="72"/>
  <c r="G470" i="72" s="1"/>
  <c r="F478" i="72"/>
  <c r="G478" i="72" s="1"/>
  <c r="F486" i="72"/>
  <c r="G486" i="72" s="1"/>
  <c r="F494" i="72"/>
  <c r="G494" i="72" s="1"/>
  <c r="F502" i="72"/>
  <c r="G502" i="72" s="1"/>
  <c r="F510" i="72"/>
  <c r="G510" i="72" s="1"/>
  <c r="F518" i="72"/>
  <c r="G518" i="72" s="1"/>
  <c r="F526" i="72"/>
  <c r="G526" i="72" s="1"/>
  <c r="F534" i="72"/>
  <c r="G534" i="72" s="1"/>
  <c r="F542" i="72"/>
  <c r="G542" i="72" s="1"/>
  <c r="F550" i="72"/>
  <c r="G550" i="72" s="1"/>
  <c r="F558" i="72"/>
  <c r="G558" i="72" s="1"/>
  <c r="F566" i="72"/>
  <c r="G566" i="72" s="1"/>
  <c r="F574" i="72"/>
  <c r="G574" i="72" s="1"/>
  <c r="F582" i="72"/>
  <c r="G582" i="72" s="1"/>
  <c r="F590" i="72"/>
  <c r="G590" i="72" s="1"/>
  <c r="F598" i="72"/>
  <c r="G598" i="72" s="1"/>
  <c r="F606" i="72"/>
  <c r="G606" i="72" s="1"/>
  <c r="F614" i="72"/>
  <c r="G614" i="72" s="1"/>
  <c r="F622" i="72"/>
  <c r="G622" i="72" s="1"/>
  <c r="F630" i="72"/>
  <c r="G630" i="72" s="1"/>
  <c r="F638" i="72"/>
  <c r="G638" i="72" s="1"/>
  <c r="F646" i="72"/>
  <c r="G646" i="72" s="1"/>
  <c r="F7" i="72"/>
  <c r="G7" i="72" s="1"/>
  <c r="F15" i="72"/>
  <c r="G15" i="72" s="1"/>
  <c r="F23" i="72"/>
  <c r="G23" i="72" s="1"/>
  <c r="F31" i="72"/>
  <c r="G31" i="72" s="1"/>
  <c r="F39" i="72"/>
  <c r="G39" i="72" s="1"/>
  <c r="F47" i="72"/>
  <c r="G47" i="72" s="1"/>
  <c r="F55" i="72"/>
  <c r="G55" i="72" s="1"/>
  <c r="F63" i="72"/>
  <c r="G63" i="72" s="1"/>
  <c r="F71" i="72"/>
  <c r="G71" i="72" s="1"/>
  <c r="F79" i="72"/>
  <c r="G79" i="72" s="1"/>
  <c r="F87" i="72"/>
  <c r="G87" i="72" s="1"/>
  <c r="F95" i="72"/>
  <c r="G95" i="72" s="1"/>
  <c r="F103" i="72"/>
  <c r="G103" i="72" s="1"/>
  <c r="F111" i="72"/>
  <c r="G111" i="72" s="1"/>
  <c r="F119" i="72"/>
  <c r="G119" i="72" s="1"/>
  <c r="F127" i="72"/>
  <c r="G127" i="72" s="1"/>
  <c r="F135" i="72"/>
  <c r="G135" i="72" s="1"/>
  <c r="F143" i="72"/>
  <c r="G143" i="72" s="1"/>
  <c r="F151" i="72"/>
  <c r="G151" i="72" s="1"/>
  <c r="F159" i="72"/>
  <c r="G159" i="72" s="1"/>
  <c r="F167" i="72"/>
  <c r="G167" i="72" s="1"/>
  <c r="F175" i="72"/>
  <c r="G175" i="72" s="1"/>
  <c r="F183" i="72"/>
  <c r="G183" i="72" s="1"/>
  <c r="F191" i="72"/>
  <c r="G191" i="72" s="1"/>
  <c r="F199" i="72"/>
  <c r="G199" i="72" s="1"/>
  <c r="F207" i="72"/>
  <c r="G207" i="72" s="1"/>
  <c r="F215" i="72"/>
  <c r="G215" i="72" s="1"/>
  <c r="F223" i="72"/>
  <c r="G223" i="72" s="1"/>
  <c r="F231" i="72"/>
  <c r="G231" i="72" s="1"/>
  <c r="F239" i="72"/>
  <c r="G239" i="72" s="1"/>
  <c r="F247" i="72"/>
  <c r="G247" i="72" s="1"/>
  <c r="F255" i="72"/>
  <c r="G255" i="72" s="1"/>
  <c r="F263" i="72"/>
  <c r="G263" i="72" s="1"/>
  <c r="F271" i="72"/>
  <c r="G271" i="72" s="1"/>
  <c r="F279" i="72"/>
  <c r="G279" i="72" s="1"/>
  <c r="F287" i="72"/>
  <c r="G287" i="72" s="1"/>
  <c r="F295" i="72"/>
  <c r="G295" i="72" s="1"/>
  <c r="F303" i="72"/>
  <c r="G303" i="72" s="1"/>
  <c r="F311" i="72"/>
  <c r="G311" i="72" s="1"/>
  <c r="F319" i="72"/>
  <c r="G319" i="72" s="1"/>
  <c r="F327" i="72"/>
  <c r="G327" i="72" s="1"/>
  <c r="F335" i="72"/>
  <c r="G335" i="72" s="1"/>
  <c r="F343" i="72"/>
  <c r="G343" i="72" s="1"/>
  <c r="F351" i="72"/>
  <c r="G351" i="72" s="1"/>
  <c r="F359" i="72"/>
  <c r="G359" i="72" s="1"/>
  <c r="F367" i="72"/>
  <c r="G367" i="72" s="1"/>
  <c r="F375" i="72"/>
  <c r="G375" i="72" s="1"/>
  <c r="F383" i="72"/>
  <c r="G383" i="72" s="1"/>
  <c r="F391" i="72"/>
  <c r="G391" i="72" s="1"/>
  <c r="F399" i="72"/>
  <c r="G399" i="72" s="1"/>
  <c r="F407" i="72"/>
  <c r="G407" i="72" s="1"/>
  <c r="F415" i="72"/>
  <c r="G415" i="72" s="1"/>
  <c r="F423" i="72"/>
  <c r="G423" i="72" s="1"/>
  <c r="F431" i="72"/>
  <c r="G431" i="72" s="1"/>
  <c r="F439" i="72"/>
  <c r="G439" i="72" s="1"/>
  <c r="F447" i="72"/>
  <c r="G447" i="72" s="1"/>
  <c r="F455" i="72"/>
  <c r="G455" i="72" s="1"/>
  <c r="F463" i="72"/>
  <c r="G463" i="72" s="1"/>
  <c r="F471" i="72"/>
  <c r="G471" i="72" s="1"/>
  <c r="F479" i="72"/>
  <c r="G479" i="72" s="1"/>
  <c r="F487" i="72"/>
  <c r="G487" i="72" s="1"/>
  <c r="F495" i="72"/>
  <c r="G495" i="72" s="1"/>
  <c r="F503" i="72"/>
  <c r="G503" i="72" s="1"/>
  <c r="F511" i="72"/>
  <c r="G511" i="72" s="1"/>
  <c r="F519" i="72"/>
  <c r="G519" i="72" s="1"/>
  <c r="F527" i="72"/>
  <c r="G527" i="72" s="1"/>
  <c r="F535" i="72"/>
  <c r="G535" i="72" s="1"/>
  <c r="F543" i="72"/>
  <c r="G543" i="72" s="1"/>
  <c r="F551" i="72"/>
  <c r="G551" i="72" s="1"/>
  <c r="F559" i="72"/>
  <c r="G559" i="72" s="1"/>
  <c r="F567" i="72"/>
  <c r="G567" i="72" s="1"/>
  <c r="F575" i="72"/>
  <c r="G575" i="72" s="1"/>
  <c r="F583" i="72"/>
  <c r="G583" i="72" s="1"/>
  <c r="F591" i="72"/>
  <c r="G591" i="72" s="1"/>
  <c r="F599" i="72"/>
  <c r="G599" i="72" s="1"/>
  <c r="F607" i="72"/>
  <c r="G607" i="72" s="1"/>
  <c r="F615" i="72"/>
  <c r="G615" i="72" s="1"/>
  <c r="F623" i="72"/>
  <c r="G623" i="72" s="1"/>
  <c r="F631" i="72"/>
  <c r="G631" i="72" s="1"/>
  <c r="F639" i="72"/>
  <c r="G639" i="72" s="1"/>
  <c r="F647" i="72"/>
  <c r="G647" i="72" s="1"/>
  <c r="F655" i="72"/>
  <c r="G655" i="72" s="1"/>
  <c r="F663" i="72"/>
  <c r="G663" i="72" s="1"/>
  <c r="F671" i="72"/>
  <c r="G671" i="72" s="1"/>
  <c r="F679" i="72"/>
  <c r="G679" i="72" s="1"/>
  <c r="F8" i="72"/>
  <c r="G8" i="72" s="1"/>
  <c r="F16" i="72"/>
  <c r="G16" i="72" s="1"/>
  <c r="F24" i="72"/>
  <c r="G24" i="72" s="1"/>
  <c r="F32" i="72"/>
  <c r="G32" i="72" s="1"/>
  <c r="F40" i="72"/>
  <c r="G40" i="72" s="1"/>
  <c r="F48" i="72"/>
  <c r="G48" i="72" s="1"/>
  <c r="F56" i="72"/>
  <c r="G56" i="72" s="1"/>
  <c r="F64" i="72"/>
  <c r="G64" i="72" s="1"/>
  <c r="F72" i="72"/>
  <c r="G72" i="72" s="1"/>
  <c r="F80" i="72"/>
  <c r="G80" i="72" s="1"/>
  <c r="F88" i="72"/>
  <c r="G88" i="72" s="1"/>
  <c r="F96" i="72"/>
  <c r="G96" i="72" s="1"/>
  <c r="F104" i="72"/>
  <c r="G104" i="72" s="1"/>
  <c r="F112" i="72"/>
  <c r="G112" i="72" s="1"/>
  <c r="F120" i="72"/>
  <c r="G120" i="72" s="1"/>
  <c r="F128" i="72"/>
  <c r="G128" i="72" s="1"/>
  <c r="F136" i="72"/>
  <c r="G136" i="72" s="1"/>
  <c r="F144" i="72"/>
  <c r="G144" i="72" s="1"/>
  <c r="F152" i="72"/>
  <c r="G152" i="72" s="1"/>
  <c r="F160" i="72"/>
  <c r="G160" i="72" s="1"/>
  <c r="F168" i="72"/>
  <c r="G168" i="72" s="1"/>
  <c r="F176" i="72"/>
  <c r="G176" i="72" s="1"/>
  <c r="F184" i="72"/>
  <c r="G184" i="72" s="1"/>
  <c r="F192" i="72"/>
  <c r="G192" i="72" s="1"/>
  <c r="F200" i="72"/>
  <c r="G200" i="72" s="1"/>
  <c r="F208" i="72"/>
  <c r="G208" i="72" s="1"/>
  <c r="F216" i="72"/>
  <c r="G216" i="72" s="1"/>
  <c r="F224" i="72"/>
  <c r="G224" i="72" s="1"/>
  <c r="F232" i="72"/>
  <c r="G232" i="72" s="1"/>
  <c r="F240" i="72"/>
  <c r="G240" i="72" s="1"/>
  <c r="F248" i="72"/>
  <c r="G248" i="72" s="1"/>
  <c r="F256" i="72"/>
  <c r="G256" i="72" s="1"/>
  <c r="F264" i="72"/>
  <c r="G264" i="72" s="1"/>
  <c r="F272" i="72"/>
  <c r="G272" i="72" s="1"/>
  <c r="F280" i="72"/>
  <c r="G280" i="72" s="1"/>
  <c r="F288" i="72"/>
  <c r="G288" i="72" s="1"/>
  <c r="F296" i="72"/>
  <c r="G296" i="72" s="1"/>
  <c r="F304" i="72"/>
  <c r="G304" i="72" s="1"/>
  <c r="F312" i="72"/>
  <c r="G312" i="72" s="1"/>
  <c r="F320" i="72"/>
  <c r="G320" i="72" s="1"/>
  <c r="F328" i="72"/>
  <c r="G328" i="72" s="1"/>
  <c r="F336" i="72"/>
  <c r="G336" i="72" s="1"/>
  <c r="F344" i="72"/>
  <c r="G344" i="72" s="1"/>
  <c r="F352" i="72"/>
  <c r="G352" i="72" s="1"/>
  <c r="F360" i="72"/>
  <c r="G360" i="72" s="1"/>
  <c r="F368" i="72"/>
  <c r="G368" i="72" s="1"/>
  <c r="F376" i="72"/>
  <c r="G376" i="72" s="1"/>
  <c r="F384" i="72"/>
  <c r="G384" i="72" s="1"/>
  <c r="F392" i="72"/>
  <c r="G392" i="72" s="1"/>
  <c r="F400" i="72"/>
  <c r="G400" i="72" s="1"/>
  <c r="F408" i="72"/>
  <c r="G408" i="72" s="1"/>
  <c r="F416" i="72"/>
  <c r="G416" i="72" s="1"/>
  <c r="F424" i="72"/>
  <c r="G424" i="72" s="1"/>
  <c r="F432" i="72"/>
  <c r="G432" i="72" s="1"/>
  <c r="F440" i="72"/>
  <c r="G440" i="72" s="1"/>
  <c r="F448" i="72"/>
  <c r="G448" i="72" s="1"/>
  <c r="F456" i="72"/>
  <c r="G456" i="72" s="1"/>
  <c r="F464" i="72"/>
  <c r="G464" i="72" s="1"/>
  <c r="F472" i="72"/>
  <c r="G472" i="72" s="1"/>
  <c r="F480" i="72"/>
  <c r="G480" i="72" s="1"/>
  <c r="F488" i="72"/>
  <c r="G488" i="72" s="1"/>
  <c r="F496" i="72"/>
  <c r="G496" i="72" s="1"/>
  <c r="F504" i="72"/>
  <c r="G504" i="72" s="1"/>
  <c r="F512" i="72"/>
  <c r="G512" i="72" s="1"/>
  <c r="F520" i="72"/>
  <c r="G520" i="72" s="1"/>
  <c r="F528" i="72"/>
  <c r="G528" i="72" s="1"/>
  <c r="F536" i="72"/>
  <c r="G536" i="72" s="1"/>
  <c r="F544" i="72"/>
  <c r="G544" i="72" s="1"/>
  <c r="F552" i="72"/>
  <c r="G552" i="72" s="1"/>
  <c r="F560" i="72"/>
  <c r="G560" i="72" s="1"/>
  <c r="F568" i="72"/>
  <c r="G568" i="72" s="1"/>
  <c r="F576" i="72"/>
  <c r="G576" i="72" s="1"/>
  <c r="F584" i="72"/>
  <c r="G584" i="72" s="1"/>
  <c r="F592" i="72"/>
  <c r="G592" i="72" s="1"/>
  <c r="F600" i="72"/>
  <c r="G600" i="72" s="1"/>
  <c r="F608" i="72"/>
  <c r="G608" i="72" s="1"/>
  <c r="F616" i="72"/>
  <c r="G616" i="72" s="1"/>
  <c r="F624" i="72"/>
  <c r="G624" i="72" s="1"/>
  <c r="F632" i="72"/>
  <c r="G632" i="72" s="1"/>
  <c r="F640" i="72"/>
  <c r="G640" i="72" s="1"/>
  <c r="F648" i="72"/>
  <c r="G648" i="72" s="1"/>
  <c r="F656" i="72"/>
  <c r="G656" i="72" s="1"/>
  <c r="F664" i="72"/>
  <c r="G664" i="72" s="1"/>
  <c r="F672" i="72"/>
  <c r="G672" i="72" s="1"/>
  <c r="F9" i="72"/>
  <c r="G9" i="72" s="1"/>
  <c r="F17" i="72"/>
  <c r="G17" i="72" s="1"/>
  <c r="F25" i="72"/>
  <c r="G25" i="72" s="1"/>
  <c r="F33" i="72"/>
  <c r="G33" i="72" s="1"/>
  <c r="F41" i="72"/>
  <c r="G41" i="72" s="1"/>
  <c r="F49" i="72"/>
  <c r="G49" i="72" s="1"/>
  <c r="F57" i="72"/>
  <c r="G57" i="72" s="1"/>
  <c r="F65" i="72"/>
  <c r="G65" i="72" s="1"/>
  <c r="F73" i="72"/>
  <c r="G73" i="72" s="1"/>
  <c r="F81" i="72"/>
  <c r="G81" i="72" s="1"/>
  <c r="F89" i="72"/>
  <c r="G89" i="72" s="1"/>
  <c r="F97" i="72"/>
  <c r="G97" i="72" s="1"/>
  <c r="F105" i="72"/>
  <c r="G105" i="72" s="1"/>
  <c r="F113" i="72"/>
  <c r="G113" i="72" s="1"/>
  <c r="F121" i="72"/>
  <c r="G121" i="72" s="1"/>
  <c r="F129" i="72"/>
  <c r="G129" i="72" s="1"/>
  <c r="F137" i="72"/>
  <c r="G137" i="72" s="1"/>
  <c r="F145" i="72"/>
  <c r="G145" i="72" s="1"/>
  <c r="F153" i="72"/>
  <c r="G153" i="72" s="1"/>
  <c r="F161" i="72"/>
  <c r="G161" i="72" s="1"/>
  <c r="F169" i="72"/>
  <c r="G169" i="72" s="1"/>
  <c r="F177" i="72"/>
  <c r="G177" i="72" s="1"/>
  <c r="F185" i="72"/>
  <c r="G185" i="72" s="1"/>
  <c r="F193" i="72"/>
  <c r="G193" i="72" s="1"/>
  <c r="F201" i="72"/>
  <c r="G201" i="72" s="1"/>
  <c r="F209" i="72"/>
  <c r="G209" i="72" s="1"/>
  <c r="F217" i="72"/>
  <c r="G217" i="72" s="1"/>
  <c r="F225" i="72"/>
  <c r="G225" i="72" s="1"/>
  <c r="F233" i="72"/>
  <c r="G233" i="72" s="1"/>
  <c r="F241" i="72"/>
  <c r="G241" i="72" s="1"/>
  <c r="F249" i="72"/>
  <c r="G249" i="72" s="1"/>
  <c r="F257" i="72"/>
  <c r="G257" i="72" s="1"/>
  <c r="F265" i="72"/>
  <c r="G265" i="72" s="1"/>
  <c r="F273" i="72"/>
  <c r="G273" i="72" s="1"/>
  <c r="F281" i="72"/>
  <c r="G281" i="72" s="1"/>
  <c r="F289" i="72"/>
  <c r="G289" i="72" s="1"/>
  <c r="F297" i="72"/>
  <c r="G297" i="72" s="1"/>
  <c r="F305" i="72"/>
  <c r="G305" i="72" s="1"/>
  <c r="F313" i="72"/>
  <c r="G313" i="72" s="1"/>
  <c r="F321" i="72"/>
  <c r="G321" i="72" s="1"/>
  <c r="F329" i="72"/>
  <c r="G329" i="72" s="1"/>
  <c r="F337" i="72"/>
  <c r="G337" i="72" s="1"/>
  <c r="F345" i="72"/>
  <c r="G345" i="72" s="1"/>
  <c r="F353" i="72"/>
  <c r="G353" i="72" s="1"/>
  <c r="F361" i="72"/>
  <c r="G361" i="72" s="1"/>
  <c r="F369" i="72"/>
  <c r="G369" i="72" s="1"/>
  <c r="F377" i="72"/>
  <c r="G377" i="72" s="1"/>
  <c r="F385" i="72"/>
  <c r="G385" i="72" s="1"/>
  <c r="F393" i="72"/>
  <c r="G393" i="72" s="1"/>
  <c r="F401" i="72"/>
  <c r="G401" i="72" s="1"/>
  <c r="F409" i="72"/>
  <c r="G409" i="72" s="1"/>
  <c r="F417" i="72"/>
  <c r="G417" i="72" s="1"/>
  <c r="F425" i="72"/>
  <c r="G425" i="72" s="1"/>
  <c r="F433" i="72"/>
  <c r="G433" i="72" s="1"/>
  <c r="F441" i="72"/>
  <c r="G441" i="72" s="1"/>
  <c r="F449" i="72"/>
  <c r="G449" i="72" s="1"/>
  <c r="F457" i="72"/>
  <c r="G457" i="72" s="1"/>
  <c r="F465" i="72"/>
  <c r="G465" i="72" s="1"/>
  <c r="F473" i="72"/>
  <c r="G473" i="72" s="1"/>
  <c r="F481" i="72"/>
  <c r="G481" i="72" s="1"/>
  <c r="F489" i="72"/>
  <c r="G489" i="72" s="1"/>
  <c r="F497" i="72"/>
  <c r="G497" i="72" s="1"/>
  <c r="F505" i="72"/>
  <c r="G505" i="72" s="1"/>
  <c r="F513" i="72"/>
  <c r="G513" i="72" s="1"/>
  <c r="F521" i="72"/>
  <c r="G521" i="72" s="1"/>
  <c r="F529" i="72"/>
  <c r="G529" i="72" s="1"/>
  <c r="F537" i="72"/>
  <c r="G537" i="72" s="1"/>
  <c r="F545" i="72"/>
  <c r="G545" i="72" s="1"/>
  <c r="F553" i="72"/>
  <c r="G553" i="72" s="1"/>
  <c r="F561" i="72"/>
  <c r="G561" i="72" s="1"/>
  <c r="F569" i="72"/>
  <c r="G569" i="72" s="1"/>
  <c r="F577" i="72"/>
  <c r="G577" i="72" s="1"/>
  <c r="F585" i="72"/>
  <c r="G585" i="72" s="1"/>
  <c r="F593" i="72"/>
  <c r="G593" i="72" s="1"/>
  <c r="F601" i="72"/>
  <c r="G601" i="72" s="1"/>
  <c r="F609" i="72"/>
  <c r="G609" i="72" s="1"/>
  <c r="F617" i="72"/>
  <c r="G617" i="72" s="1"/>
  <c r="F625" i="72"/>
  <c r="G625" i="72" s="1"/>
  <c r="F633" i="72"/>
  <c r="G633" i="72" s="1"/>
  <c r="F641" i="72"/>
  <c r="G641" i="72" s="1"/>
  <c r="F649" i="72"/>
  <c r="G649" i="72" s="1"/>
  <c r="F657" i="72"/>
  <c r="G657" i="72" s="1"/>
  <c r="F906" i="72"/>
  <c r="G906" i="72" s="1"/>
  <c r="F898" i="72"/>
  <c r="G898" i="72" s="1"/>
  <c r="F890" i="72"/>
  <c r="G890" i="72" s="1"/>
  <c r="F882" i="72"/>
  <c r="G882" i="72" s="1"/>
  <c r="F874" i="72"/>
  <c r="G874" i="72" s="1"/>
  <c r="F866" i="72"/>
  <c r="G866" i="72" s="1"/>
  <c r="F858" i="72"/>
  <c r="G858" i="72" s="1"/>
  <c r="F850" i="72"/>
  <c r="G850" i="72" s="1"/>
  <c r="F842" i="72"/>
  <c r="G842" i="72" s="1"/>
  <c r="F834" i="72"/>
  <c r="G834" i="72" s="1"/>
  <c r="F826" i="72"/>
  <c r="G826" i="72" s="1"/>
  <c r="F818" i="72"/>
  <c r="G818" i="72" s="1"/>
  <c r="F810" i="72"/>
  <c r="G810" i="72" s="1"/>
  <c r="F802" i="72"/>
  <c r="G802" i="72" s="1"/>
  <c r="F794" i="72"/>
  <c r="G794" i="72" s="1"/>
  <c r="F786" i="72"/>
  <c r="G786" i="72" s="1"/>
  <c r="F778" i="72"/>
  <c r="G778" i="72" s="1"/>
  <c r="F770" i="72"/>
  <c r="G770" i="72" s="1"/>
  <c r="F762" i="72"/>
  <c r="G762" i="72" s="1"/>
  <c r="F754" i="72"/>
  <c r="G754" i="72" s="1"/>
  <c r="F746" i="72"/>
  <c r="G746" i="72" s="1"/>
  <c r="F738" i="72"/>
  <c r="G738" i="72" s="1"/>
  <c r="F730" i="72"/>
  <c r="G730" i="72" s="1"/>
  <c r="F722" i="72"/>
  <c r="G722" i="72" s="1"/>
  <c r="F714" i="72"/>
  <c r="G714" i="72" s="1"/>
  <c r="F706" i="72"/>
  <c r="G706" i="72" s="1"/>
  <c r="F698" i="72"/>
  <c r="G698" i="72" s="1"/>
  <c r="F690" i="72"/>
  <c r="G690" i="72" s="1"/>
  <c r="F682" i="72"/>
  <c r="G682" i="72" s="1"/>
  <c r="F668" i="72"/>
  <c r="G668" i="72" s="1"/>
  <c r="F883" i="72"/>
  <c r="G883" i="72" s="1"/>
  <c r="F851" i="72"/>
  <c r="G851" i="72" s="1"/>
  <c r="F723" i="72"/>
  <c r="G723" i="72" s="1"/>
  <c r="F905" i="72"/>
  <c r="G905" i="72" s="1"/>
  <c r="F897" i="72"/>
  <c r="G897" i="72" s="1"/>
  <c r="F889" i="72"/>
  <c r="G889" i="72" s="1"/>
  <c r="F881" i="72"/>
  <c r="G881" i="72" s="1"/>
  <c r="F873" i="72"/>
  <c r="G873" i="72" s="1"/>
  <c r="F865" i="72"/>
  <c r="G865" i="72" s="1"/>
  <c r="F857" i="72"/>
  <c r="G857" i="72" s="1"/>
  <c r="F849" i="72"/>
  <c r="G849" i="72" s="1"/>
  <c r="F841" i="72"/>
  <c r="G841" i="72" s="1"/>
  <c r="F833" i="72"/>
  <c r="G833" i="72" s="1"/>
  <c r="F825" i="72"/>
  <c r="G825" i="72" s="1"/>
  <c r="F817" i="72"/>
  <c r="G817" i="72" s="1"/>
  <c r="F809" i="72"/>
  <c r="G809" i="72" s="1"/>
  <c r="F801" i="72"/>
  <c r="G801" i="72" s="1"/>
  <c r="F793" i="72"/>
  <c r="G793" i="72" s="1"/>
  <c r="F785" i="72"/>
  <c r="G785" i="72" s="1"/>
  <c r="F777" i="72"/>
  <c r="G777" i="72" s="1"/>
  <c r="F769" i="72"/>
  <c r="G769" i="72" s="1"/>
  <c r="F761" i="72"/>
  <c r="G761" i="72" s="1"/>
  <c r="F753" i="72"/>
  <c r="G753" i="72" s="1"/>
  <c r="F745" i="72"/>
  <c r="G745" i="72" s="1"/>
  <c r="F737" i="72"/>
  <c r="G737" i="72" s="1"/>
  <c r="F729" i="72"/>
  <c r="G729" i="72" s="1"/>
  <c r="F721" i="72"/>
  <c r="G721" i="72" s="1"/>
  <c r="F713" i="72"/>
  <c r="G713" i="72" s="1"/>
  <c r="F705" i="72"/>
  <c r="G705" i="72" s="1"/>
  <c r="F697" i="72"/>
  <c r="G697" i="72" s="1"/>
  <c r="F689" i="72"/>
  <c r="G689" i="72" s="1"/>
  <c r="F681" i="72"/>
  <c r="G681" i="72" s="1"/>
  <c r="F667" i="72"/>
  <c r="G667" i="72" s="1"/>
  <c r="F891" i="72"/>
  <c r="G891" i="72" s="1"/>
  <c r="F859" i="72"/>
  <c r="G859" i="72" s="1"/>
  <c r="F755" i="72"/>
  <c r="G755" i="72" s="1"/>
  <c r="F904" i="72"/>
  <c r="G904" i="72" s="1"/>
  <c r="F896" i="72"/>
  <c r="G896" i="72" s="1"/>
  <c r="F888" i="72"/>
  <c r="G888" i="72" s="1"/>
  <c r="F880" i="72"/>
  <c r="G880" i="72" s="1"/>
  <c r="F872" i="72"/>
  <c r="G872" i="72" s="1"/>
  <c r="F864" i="72"/>
  <c r="G864" i="72" s="1"/>
  <c r="F856" i="72"/>
  <c r="G856" i="72" s="1"/>
  <c r="F848" i="72"/>
  <c r="G848" i="72" s="1"/>
  <c r="F840" i="72"/>
  <c r="G840" i="72" s="1"/>
  <c r="F832" i="72"/>
  <c r="G832" i="72" s="1"/>
  <c r="F824" i="72"/>
  <c r="G824" i="72" s="1"/>
  <c r="F816" i="72"/>
  <c r="G816" i="72" s="1"/>
  <c r="F808" i="72"/>
  <c r="G808" i="72" s="1"/>
  <c r="F800" i="72"/>
  <c r="G800" i="72" s="1"/>
  <c r="F792" i="72"/>
  <c r="G792" i="72" s="1"/>
  <c r="F784" i="72"/>
  <c r="G784" i="72" s="1"/>
  <c r="F776" i="72"/>
  <c r="G776" i="72" s="1"/>
  <c r="F768" i="72"/>
  <c r="G768" i="72" s="1"/>
  <c r="F760" i="72"/>
  <c r="G760" i="72" s="1"/>
  <c r="F752" i="72"/>
  <c r="G752" i="72" s="1"/>
  <c r="F744" i="72"/>
  <c r="G744" i="72" s="1"/>
  <c r="F736" i="72"/>
  <c r="G736" i="72" s="1"/>
  <c r="F728" i="72"/>
  <c r="G728" i="72" s="1"/>
  <c r="F720" i="72"/>
  <c r="G720" i="72" s="1"/>
  <c r="F712" i="72"/>
  <c r="G712" i="72" s="1"/>
  <c r="F704" i="72"/>
  <c r="G704" i="72" s="1"/>
  <c r="F696" i="72"/>
  <c r="G696" i="72" s="1"/>
  <c r="F688" i="72"/>
  <c r="G688" i="72" s="1"/>
  <c r="F680" i="72"/>
  <c r="G680" i="72" s="1"/>
  <c r="F665" i="72"/>
  <c r="G665" i="72" s="1"/>
  <c r="F795" i="72"/>
  <c r="G795" i="72" s="1"/>
  <c r="F903" i="72"/>
  <c r="G903" i="72" s="1"/>
  <c r="F895" i="72"/>
  <c r="G895" i="72" s="1"/>
  <c r="F887" i="72"/>
  <c r="G887" i="72" s="1"/>
  <c r="F879" i="72"/>
  <c r="G879" i="72" s="1"/>
  <c r="F871" i="72"/>
  <c r="G871" i="72" s="1"/>
  <c r="F863" i="72"/>
  <c r="G863" i="72" s="1"/>
  <c r="F855" i="72"/>
  <c r="G855" i="72" s="1"/>
  <c r="F847" i="72"/>
  <c r="G847" i="72" s="1"/>
  <c r="F839" i="72"/>
  <c r="G839" i="72" s="1"/>
  <c r="F831" i="72"/>
  <c r="G831" i="72" s="1"/>
  <c r="F823" i="72"/>
  <c r="G823" i="72" s="1"/>
  <c r="F815" i="72"/>
  <c r="G815" i="72" s="1"/>
  <c r="F807" i="72"/>
  <c r="G807" i="72" s="1"/>
  <c r="F799" i="72"/>
  <c r="G799" i="72" s="1"/>
  <c r="F791" i="72"/>
  <c r="G791" i="72" s="1"/>
  <c r="F783" i="72"/>
  <c r="G783" i="72" s="1"/>
  <c r="F775" i="72"/>
  <c r="G775" i="72" s="1"/>
  <c r="F767" i="72"/>
  <c r="G767" i="72" s="1"/>
  <c r="F759" i="72"/>
  <c r="G759" i="72" s="1"/>
  <c r="F751" i="72"/>
  <c r="G751" i="72" s="1"/>
  <c r="F743" i="72"/>
  <c r="G743" i="72" s="1"/>
  <c r="F735" i="72"/>
  <c r="G735" i="72" s="1"/>
  <c r="F727" i="72"/>
  <c r="G727" i="72" s="1"/>
  <c r="F719" i="72"/>
  <c r="G719" i="72" s="1"/>
  <c r="F711" i="72"/>
  <c r="G711" i="72" s="1"/>
  <c r="F703" i="72"/>
  <c r="G703" i="72" s="1"/>
  <c r="F695" i="72"/>
  <c r="G695" i="72" s="1"/>
  <c r="F687" i="72"/>
  <c r="G687" i="72" s="1"/>
  <c r="F678" i="72"/>
  <c r="G678" i="72" s="1"/>
  <c r="F662" i="72"/>
  <c r="G662" i="72" s="1"/>
  <c r="F3" i="71"/>
  <c r="F902" i="72"/>
  <c r="G902" i="72" s="1"/>
  <c r="F894" i="72"/>
  <c r="G894" i="72" s="1"/>
  <c r="F886" i="72"/>
  <c r="G886" i="72" s="1"/>
  <c r="F878" i="72"/>
  <c r="G878" i="72" s="1"/>
  <c r="F870" i="72"/>
  <c r="G870" i="72" s="1"/>
  <c r="F862" i="72"/>
  <c r="G862" i="72" s="1"/>
  <c r="F854" i="72"/>
  <c r="G854" i="72" s="1"/>
  <c r="F846" i="72"/>
  <c r="G846" i="72" s="1"/>
  <c r="F838" i="72"/>
  <c r="G838" i="72" s="1"/>
  <c r="F830" i="72"/>
  <c r="G830" i="72" s="1"/>
  <c r="F822" i="72"/>
  <c r="G822" i="72" s="1"/>
  <c r="F814" i="72"/>
  <c r="G814" i="72" s="1"/>
  <c r="F806" i="72"/>
  <c r="G806" i="72" s="1"/>
  <c r="F798" i="72"/>
  <c r="G798" i="72" s="1"/>
  <c r="F790" i="72"/>
  <c r="G790" i="72" s="1"/>
  <c r="F782" i="72"/>
  <c r="G782" i="72" s="1"/>
  <c r="F774" i="72"/>
  <c r="G774" i="72" s="1"/>
  <c r="F766" i="72"/>
  <c r="G766" i="72" s="1"/>
  <c r="F758" i="72"/>
  <c r="G758" i="72" s="1"/>
  <c r="F750" i="72"/>
  <c r="G750" i="72" s="1"/>
  <c r="F742" i="72"/>
  <c r="G742" i="72" s="1"/>
  <c r="F734" i="72"/>
  <c r="G734" i="72" s="1"/>
  <c r="F726" i="72"/>
  <c r="G726" i="72" s="1"/>
  <c r="F718" i="72"/>
  <c r="G718" i="72" s="1"/>
  <c r="F710" i="72"/>
  <c r="G710" i="72" s="1"/>
  <c r="F702" i="72"/>
  <c r="G702" i="72" s="1"/>
  <c r="F694" i="72"/>
  <c r="G694" i="72" s="1"/>
  <c r="F686" i="72"/>
  <c r="G686" i="72" s="1"/>
  <c r="F676" i="72"/>
  <c r="G676" i="72" s="1"/>
  <c r="F660" i="72"/>
  <c r="G660" i="72" s="1"/>
  <c r="F731" i="72"/>
  <c r="G731" i="72" s="1"/>
  <c r="F901" i="72"/>
  <c r="G901" i="72" s="1"/>
  <c r="F893" i="72"/>
  <c r="G893" i="72" s="1"/>
  <c r="F885" i="72"/>
  <c r="G885" i="72" s="1"/>
  <c r="F877" i="72"/>
  <c r="G877" i="72" s="1"/>
  <c r="F869" i="72"/>
  <c r="G869" i="72" s="1"/>
  <c r="F861" i="72"/>
  <c r="G861" i="72" s="1"/>
  <c r="F853" i="72"/>
  <c r="G853" i="72" s="1"/>
  <c r="F845" i="72"/>
  <c r="G845" i="72" s="1"/>
  <c r="F837" i="72"/>
  <c r="G837" i="72" s="1"/>
  <c r="F829" i="72"/>
  <c r="G829" i="72" s="1"/>
  <c r="F821" i="72"/>
  <c r="G821" i="72" s="1"/>
  <c r="F813" i="72"/>
  <c r="G813" i="72" s="1"/>
  <c r="F805" i="72"/>
  <c r="G805" i="72" s="1"/>
  <c r="F797" i="72"/>
  <c r="G797" i="72" s="1"/>
  <c r="F789" i="72"/>
  <c r="G789" i="72" s="1"/>
  <c r="F781" i="72"/>
  <c r="G781" i="72" s="1"/>
  <c r="F773" i="72"/>
  <c r="G773" i="72" s="1"/>
  <c r="F765" i="72"/>
  <c r="G765" i="72" s="1"/>
  <c r="F757" i="72"/>
  <c r="G757" i="72" s="1"/>
  <c r="F749" i="72"/>
  <c r="G749" i="72" s="1"/>
  <c r="F741" i="72"/>
  <c r="G741" i="72" s="1"/>
  <c r="F733" i="72"/>
  <c r="G733" i="72" s="1"/>
  <c r="F725" i="72"/>
  <c r="G725" i="72" s="1"/>
  <c r="F717" i="72"/>
  <c r="G717" i="72" s="1"/>
  <c r="F709" i="72"/>
  <c r="G709" i="72" s="1"/>
  <c r="F701" i="72"/>
  <c r="G701" i="72" s="1"/>
  <c r="F693" i="72"/>
  <c r="G693" i="72" s="1"/>
  <c r="F685" i="72"/>
  <c r="G685" i="72" s="1"/>
  <c r="F675" i="72"/>
  <c r="G675" i="72" s="1"/>
  <c r="F659" i="72"/>
  <c r="G659" i="72" s="1"/>
  <c r="F899" i="72"/>
  <c r="G899" i="72" s="1"/>
  <c r="F867" i="72"/>
  <c r="G867" i="72" s="1"/>
  <c r="F763" i="72"/>
  <c r="G763" i="72" s="1"/>
  <c r="F908" i="72"/>
  <c r="G908" i="72" s="1"/>
  <c r="F900" i="72"/>
  <c r="G900" i="72" s="1"/>
  <c r="F892" i="72"/>
  <c r="G892" i="72" s="1"/>
  <c r="F876" i="72"/>
  <c r="G876" i="72" s="1"/>
  <c r="F868" i="72"/>
  <c r="G868" i="72" s="1"/>
  <c r="F860" i="72"/>
  <c r="G860" i="72" s="1"/>
  <c r="F852" i="72"/>
  <c r="G852" i="72" s="1"/>
  <c r="F844" i="72"/>
  <c r="G844" i="72" s="1"/>
  <c r="F836" i="72"/>
  <c r="G836" i="72" s="1"/>
  <c r="F828" i="72"/>
  <c r="G828" i="72" s="1"/>
  <c r="F820" i="72"/>
  <c r="G820" i="72" s="1"/>
  <c r="F812" i="72"/>
  <c r="G812" i="72" s="1"/>
  <c r="F804" i="72"/>
  <c r="G804" i="72" s="1"/>
  <c r="F796" i="72"/>
  <c r="G796" i="72" s="1"/>
  <c r="F788" i="72"/>
  <c r="G788" i="72" s="1"/>
  <c r="F780" i="72"/>
  <c r="G780" i="72" s="1"/>
  <c r="F772" i="72"/>
  <c r="G772" i="72" s="1"/>
  <c r="F764" i="72"/>
  <c r="G764" i="72" s="1"/>
  <c r="F756" i="72"/>
  <c r="G756" i="72" s="1"/>
  <c r="F748" i="72"/>
  <c r="G748" i="72" s="1"/>
  <c r="F740" i="72"/>
  <c r="G740" i="72" s="1"/>
  <c r="F732" i="72"/>
  <c r="G732" i="72" s="1"/>
  <c r="F724" i="72"/>
  <c r="G724" i="72" s="1"/>
  <c r="F716" i="72"/>
  <c r="G716" i="72" s="1"/>
  <c r="F708" i="72"/>
  <c r="G708" i="72" s="1"/>
  <c r="F700" i="72"/>
  <c r="G700" i="72" s="1"/>
  <c r="F692" i="72"/>
  <c r="G692" i="72" s="1"/>
  <c r="F684" i="72"/>
  <c r="G684" i="72" s="1"/>
  <c r="F673" i="72"/>
  <c r="G673" i="72" s="1"/>
  <c r="F654" i="72"/>
  <c r="G654" i="72" s="1"/>
  <c r="D129" i="82" l="1"/>
  <c r="F8" i="83"/>
  <c r="G8" i="83" s="1"/>
  <c r="K43" i="83"/>
  <c r="N42" i="83"/>
  <c r="E45" i="83"/>
  <c r="J41" i="83"/>
  <c r="F45" i="83"/>
  <c r="N29" i="83"/>
  <c r="M29" i="83"/>
  <c r="G45" i="83"/>
  <c r="K45" i="83"/>
  <c r="J45" i="83"/>
  <c r="K37" i="83"/>
  <c r="J37" i="83"/>
  <c r="K121" i="82"/>
  <c r="I129" i="82"/>
  <c r="S45" i="82"/>
  <c r="G2" i="72"/>
  <c r="M2" i="71"/>
  <c r="M3" i="71"/>
  <c r="M4" i="71"/>
  <c r="M5" i="71"/>
  <c r="M6" i="71" l="1"/>
  <c r="M7" i="71" s="1"/>
  <c r="C37" i="83"/>
  <c r="M37" i="83" l="1"/>
  <c r="C45" i="83"/>
  <c r="N37" i="83"/>
  <c r="N45" i="83" l="1"/>
  <c r="M45" i="8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0538C4-C1BE-4988-817E-A114BCD33C90}" name="Query - Table5" description="Connection to the 'Table5' query in the workbook." type="100" refreshedVersion="7" minRefreshableVersion="5">
    <extLst>
      <ext xmlns:x15="http://schemas.microsoft.com/office/spreadsheetml/2010/11/main" uri="{DE250136-89BD-433C-8126-D09CA5730AF9}">
        <x15:connection id="7b4d054f-196f-40c4-8911-a551ba226616"/>
      </ext>
    </extLst>
  </connection>
  <connection id="2" xr16:uid="{0F51FCFE-0E17-4964-8434-7BB3E16FFA0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<sst xmlns="http://schemas.openxmlformats.org/spreadsheetml/2006/main" count="1324" uniqueCount="180">
  <si>
    <t>CLID</t>
  </si>
  <si>
    <t>CL97995</t>
  </si>
  <si>
    <t>CL82440</t>
  </si>
  <si>
    <t>CL33189</t>
  </si>
  <si>
    <t>CL92654</t>
  </si>
  <si>
    <t>CL99496</t>
  </si>
  <si>
    <t>CL28683</t>
  </si>
  <si>
    <t>CL69323</t>
  </si>
  <si>
    <t>CL43946</t>
  </si>
  <si>
    <t>CL99768</t>
  </si>
  <si>
    <t>CL79103</t>
  </si>
  <si>
    <t>CL67438</t>
  </si>
  <si>
    <t>CL44634</t>
  </si>
  <si>
    <t>CL55399</t>
  </si>
  <si>
    <t>CL37879</t>
  </si>
  <si>
    <t>CL29380</t>
  </si>
  <si>
    <t>CL49900</t>
  </si>
  <si>
    <t>CL38496</t>
  </si>
  <si>
    <t>CL87149</t>
  </si>
  <si>
    <t>CL94846</t>
  </si>
  <si>
    <t>CL87299</t>
  </si>
  <si>
    <t>CL37714</t>
  </si>
  <si>
    <t>CL13257</t>
  </si>
  <si>
    <t>CL11420</t>
  </si>
  <si>
    <t>CL60563</t>
  </si>
  <si>
    <t>CL35993</t>
  </si>
  <si>
    <t>CL50297</t>
  </si>
  <si>
    <t>CL75562</t>
  </si>
  <si>
    <t>CL23634</t>
  </si>
  <si>
    <t>CL95487</t>
  </si>
  <si>
    <t>CL24510</t>
  </si>
  <si>
    <t>CL71409</t>
  </si>
  <si>
    <t>CL90358</t>
  </si>
  <si>
    <t>CL13213</t>
  </si>
  <si>
    <t>CL50651</t>
  </si>
  <si>
    <t>CL22140</t>
  </si>
  <si>
    <t>CL31601</t>
  </si>
  <si>
    <t>CL64939</t>
  </si>
  <si>
    <t>CL52426</t>
  </si>
  <si>
    <t>CL96487</t>
  </si>
  <si>
    <t>CL81431</t>
  </si>
  <si>
    <t>CL36191</t>
  </si>
  <si>
    <t>CL83083</t>
  </si>
  <si>
    <t>CL49960</t>
  </si>
  <si>
    <t>CL22675</t>
  </si>
  <si>
    <t>CL83029</t>
  </si>
  <si>
    <t>CL79204</t>
  </si>
  <si>
    <t>CL96680</t>
  </si>
  <si>
    <t>CL57593</t>
  </si>
  <si>
    <t>CL17270</t>
  </si>
  <si>
    <t>CL85641</t>
  </si>
  <si>
    <t>CL46663</t>
  </si>
  <si>
    <t>CL61534</t>
  </si>
  <si>
    <t>CL75274</t>
  </si>
  <si>
    <t>GEO1003</t>
  </si>
  <si>
    <t>GEO1004</t>
  </si>
  <si>
    <t>GEO1002</t>
  </si>
  <si>
    <t>GEO1001</t>
  </si>
  <si>
    <t>Date</t>
  </si>
  <si>
    <t>Vol</t>
  </si>
  <si>
    <t>GEOID</t>
  </si>
  <si>
    <t>C-CL69323</t>
  </si>
  <si>
    <t>C-CL97995</t>
  </si>
  <si>
    <t>C-CL87299</t>
  </si>
  <si>
    <t>C-CL38496</t>
  </si>
  <si>
    <t>C-CL75562</t>
  </si>
  <si>
    <t>C-CL31601</t>
  </si>
  <si>
    <t>C-CL33189</t>
  </si>
  <si>
    <t>C-CL22140</t>
  </si>
  <si>
    <t>C-CL49960</t>
  </si>
  <si>
    <t>C-CL43946</t>
  </si>
  <si>
    <t>C-CL37714</t>
  </si>
  <si>
    <t>C-CL75274</t>
  </si>
  <si>
    <t>C-CL61534</t>
  </si>
  <si>
    <t>C-CL85641</t>
  </si>
  <si>
    <t>C-CL46663</t>
  </si>
  <si>
    <t>C-CL17270</t>
  </si>
  <si>
    <t>C-CL57593</t>
  </si>
  <si>
    <t>C-CL96680</t>
  </si>
  <si>
    <t>C-CL79204</t>
  </si>
  <si>
    <t>C-CL83029</t>
  </si>
  <si>
    <t>C-CL22675</t>
  </si>
  <si>
    <t>C-CL83083</t>
  </si>
  <si>
    <t>C-CL36191</t>
  </si>
  <si>
    <t>C-CL81431</t>
  </si>
  <si>
    <t>C-CL96487</t>
  </si>
  <si>
    <t>C-CL52426</t>
  </si>
  <si>
    <t>C-CL64939</t>
  </si>
  <si>
    <t>C-CL50651</t>
  </si>
  <si>
    <t>C-CL13213</t>
  </si>
  <si>
    <t>C-CL90358</t>
  </si>
  <si>
    <t>C-CL71409</t>
  </si>
  <si>
    <t>C-CL24510</t>
  </si>
  <si>
    <t>C-CL95487</t>
  </si>
  <si>
    <t>C-CL23634</t>
  </si>
  <si>
    <t>C-CL50297</t>
  </si>
  <si>
    <t>C-CL35993</t>
  </si>
  <si>
    <t>C-CL60563</t>
  </si>
  <si>
    <t>C-CL11420</t>
  </si>
  <si>
    <t>C-CL13257</t>
  </si>
  <si>
    <t>C-CL94846</t>
  </si>
  <si>
    <t>C-CL87149</t>
  </si>
  <si>
    <t>C-CL49900</t>
  </si>
  <si>
    <t>C-CL29380</t>
  </si>
  <si>
    <t>C-CL37879</t>
  </si>
  <si>
    <t>C-CL55399</t>
  </si>
  <si>
    <t>C-CL44634</t>
  </si>
  <si>
    <t>C-CL67438</t>
  </si>
  <si>
    <t>C-CL79103</t>
  </si>
  <si>
    <t>C-CL99768</t>
  </si>
  <si>
    <t>C-CL28683</t>
  </si>
  <si>
    <t>C-CL99496</t>
  </si>
  <si>
    <t>C-CL92654</t>
  </si>
  <si>
    <t>C-CL82440</t>
  </si>
  <si>
    <t>Hey,
The board is asking to see how volume looked in Q2. I got some data (attached), but didn’t have a chance to pull anything together and was hoping you could take a stab at it.
I think they just want to see Q2 2021 volume by region and wanted to know if everything was looking good. I think this file has what you need. I don’t remember all the region codes – I know NAM ends in 1, EMEA ends in 3 and APAC and LATAM are 2 and 4, but I don’t remember which is which. I do know LATAM has the lowest volume so just go ahead and assign that to which ever comes out lowest.
I appreciate your help!</t>
  </si>
  <si>
    <t>NAM</t>
  </si>
  <si>
    <t>EMEA</t>
  </si>
  <si>
    <t>GEO NAME</t>
  </si>
  <si>
    <t>Total</t>
  </si>
  <si>
    <t>LEN</t>
  </si>
  <si>
    <t>Right</t>
  </si>
  <si>
    <t>Mid</t>
  </si>
  <si>
    <t>Test</t>
  </si>
  <si>
    <t>Index Match Region ID</t>
  </si>
  <si>
    <t>Xlookup Region ID</t>
  </si>
  <si>
    <t>Volume</t>
  </si>
  <si>
    <t>LATAM</t>
  </si>
  <si>
    <t>APAC</t>
  </si>
  <si>
    <t>Region Name</t>
  </si>
  <si>
    <t>Quarter</t>
  </si>
  <si>
    <t>Quarter by Vlookup</t>
  </si>
  <si>
    <t>Date Start</t>
  </si>
  <si>
    <t>Date End</t>
  </si>
  <si>
    <t>Name</t>
  </si>
  <si>
    <t>Q1 2020</t>
  </si>
  <si>
    <t>Q2 2020</t>
  </si>
  <si>
    <t>Q3 2020</t>
  </si>
  <si>
    <t>Q4 2020</t>
  </si>
  <si>
    <t>Q1 2021</t>
  </si>
  <si>
    <t>Q2 2021</t>
  </si>
  <si>
    <t>Region</t>
  </si>
  <si>
    <t>Row Labels</t>
  </si>
  <si>
    <t>Grand Total</t>
  </si>
  <si>
    <t>Column Labels</t>
  </si>
  <si>
    <t>2020</t>
  </si>
  <si>
    <t>2020 Total</t>
  </si>
  <si>
    <t>2021</t>
  </si>
  <si>
    <t>2021 Total</t>
  </si>
  <si>
    <t>Qtr1</t>
  </si>
  <si>
    <t>Qtr2</t>
  </si>
  <si>
    <t>Qtr3</t>
  </si>
  <si>
    <t>Qtr4</t>
  </si>
  <si>
    <t>Sum of Vol</t>
  </si>
  <si>
    <t>Q1 YoY</t>
  </si>
  <si>
    <t>#</t>
  </si>
  <si>
    <t>%</t>
  </si>
  <si>
    <t>Q2 YoY</t>
  </si>
  <si>
    <t>Q2 Fcst</t>
  </si>
  <si>
    <t>Years</t>
  </si>
  <si>
    <t>Quarters</t>
  </si>
  <si>
    <t>NAM Total</t>
  </si>
  <si>
    <t>EMEA Total</t>
  </si>
  <si>
    <t>APAC Total</t>
  </si>
  <si>
    <t>LATAM Total</t>
  </si>
  <si>
    <t>2 customers left region in Q2, taking about 7k in volume away</t>
  </si>
  <si>
    <t>Q2 YoY growth slowed from Q1 growth of 4% down to 2.7% primarily driven by: .7% or 7k volume decline from loss of two customers in LATAM driving overall growth for region down from 9% in Q1 to flat in Q2 YoY</t>
  </si>
  <si>
    <t>Same store sales slower than expected in Q2 vs Q1 YoY, comprising majority of remaining variance</t>
  </si>
  <si>
    <t>- NAM client onboarding in Q2 2020 anniversaried in Q2 2021, slowing perceived growth</t>
  </si>
  <si>
    <t>Q2 2021 Widget Inc Overview</t>
  </si>
  <si>
    <t>All data as of 6/30/2021</t>
  </si>
  <si>
    <t>Customers</t>
  </si>
  <si>
    <t xml:space="preserve">Prior Year </t>
  </si>
  <si>
    <t>% Change</t>
  </si>
  <si>
    <t>Average Volume / Customers</t>
  </si>
  <si>
    <t>Q2 Volume</t>
  </si>
  <si>
    <t>Q2 Customers</t>
  </si>
  <si>
    <t>Key Notes</t>
  </si>
  <si>
    <t>.7% or 7k volume or 55% of decline from loss of two customers in LATAM driving overall growth for region down from 9% in Q1 to flat in Q2 YoY</t>
  </si>
  <si>
    <r>
      <rPr>
        <b/>
        <sz val="10"/>
        <rFont val="ARIAL"/>
        <family val="2"/>
      </rPr>
      <t>Q2 YoY growth slowed from Q1 growth of 4% down to 2.7% or (~13k)primarily driven by:</t>
    </r>
    <r>
      <rPr>
        <sz val="10"/>
        <rFont val="Arial"/>
        <family val="2"/>
      </rPr>
      <t xml:space="preserve"> </t>
    </r>
  </si>
  <si>
    <t xml:space="preserve"> -NAM client onboarding in Q2 2020 anniversaried in Q2 2021, slowing perceived growth and amplifying Q1 growth by ~5k units, or 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</si>
</sst>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m/d/yy;@"/>
    <numFmt numFmtId="167" formatCode="dd/mm/yyyy;@"/>
    <numFmt numFmtId="168" formatCode="0.0%"/>
    <numFmt numFmtId="169" formatCode="0.0000000"/>
    <numFmt numFmtId="170" formatCode="0.0000"/>
    <numFmt numFmtId="171" formatCode="0,&quot;k&quot;"/>
    <numFmt numFmtId="172" formatCode="0.0%;\(0.0%\)"/>
  </numFmts>
  <fonts count="15" x14ac:knownFonts="1">
    <font>
      <sz val="10"/>
      <name val="ARIAL"/>
      <charset val="1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  <charset val="1"/>
    </font>
    <font>
      <sz val="8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6"/>
      <color theme="0"/>
      <name val="Arial"/>
      <family val="2"/>
    </font>
    <font>
      <b/>
      <sz val="28"/>
      <color theme="0"/>
      <name val="Arial"/>
      <family val="2"/>
    </font>
    <font>
      <sz val="12"/>
      <color theme="0"/>
      <name val="Arial"/>
      <family val="2"/>
    </font>
    <font>
      <b/>
      <sz val="28"/>
      <name val="ARIAL"/>
      <family val="2"/>
    </font>
    <font>
      <b/>
      <i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>
      <alignment wrapText="1"/>
    </xf>
    <xf numFmtId="49" fontId="1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63">
    <xf numFmtId="0" fontId="0" fillId="0" borderId="0" xfId="0">
      <alignment wrapText="1"/>
    </xf>
    <xf numFmtId="0" fontId="0" fillId="0" borderId="0" xfId="0" applyAlignment="1"/>
    <xf numFmtId="14" fontId="0" fillId="0" borderId="0" xfId="0" applyNumberFormat="1" applyAlignment="1"/>
    <xf numFmtId="0" fontId="1" fillId="0" borderId="0" xfId="0" applyFont="1" applyAlignment="1"/>
    <xf numFmtId="14" fontId="1" fillId="0" borderId="0" xfId="0" applyNumberFormat="1" applyFont="1" applyAlignment="1"/>
    <xf numFmtId="165" fontId="0" fillId="0" borderId="0" xfId="2" applyNumberFormat="1" applyFont="1" applyAlignment="1"/>
    <xf numFmtId="0" fontId="5" fillId="0" borderId="0" xfId="0" applyFont="1" applyAlignment="1"/>
    <xf numFmtId="165" fontId="0" fillId="0" borderId="0" xfId="0" applyNumberFormat="1" applyAlignment="1"/>
    <xf numFmtId="166" fontId="1" fillId="0" borderId="0" xfId="0" applyNumberFormat="1" applyFont="1" applyAlignment="1"/>
    <xf numFmtId="166" fontId="0" fillId="0" borderId="0" xfId="0" applyNumberFormat="1" applyAlignment="1"/>
    <xf numFmtId="167" fontId="0" fillId="0" borderId="0" xfId="0" applyNumberFormat="1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pivotButton="1" applyAlignment="1"/>
    <xf numFmtId="165" fontId="0" fillId="0" borderId="0" xfId="0" applyNumberFormat="1">
      <alignment wrapText="1"/>
    </xf>
    <xf numFmtId="0" fontId="0" fillId="0" borderId="0" xfId="0" applyAlignment="1">
      <alignment horizontal="left" wrapText="1" indent="1"/>
    </xf>
    <xf numFmtId="0" fontId="0" fillId="0" borderId="0" xfId="0" pivotButton="1">
      <alignment wrapText="1"/>
    </xf>
    <xf numFmtId="164" fontId="0" fillId="0" borderId="0" xfId="2" applyNumberFormat="1" applyFont="1" applyAlignment="1">
      <alignment wrapText="1"/>
    </xf>
    <xf numFmtId="165" fontId="0" fillId="0" borderId="0" xfId="2" applyNumberFormat="1" applyFont="1" applyAlignment="1">
      <alignment wrapText="1"/>
    </xf>
    <xf numFmtId="168" fontId="0" fillId="0" borderId="0" xfId="3" applyNumberFormat="1" applyFont="1" applyAlignment="1">
      <alignment wrapText="1"/>
    </xf>
    <xf numFmtId="43" fontId="0" fillId="0" borderId="0" xfId="0" applyNumberFormat="1">
      <alignment wrapText="1"/>
    </xf>
    <xf numFmtId="9" fontId="0" fillId="0" borderId="0" xfId="3" applyFont="1" applyAlignment="1">
      <alignment horizontal="left" wrapText="1"/>
    </xf>
    <xf numFmtId="0" fontId="7" fillId="2" borderId="0" xfId="0" applyFont="1" applyFill="1" applyAlignment="1"/>
    <xf numFmtId="0" fontId="7" fillId="3" borderId="0" xfId="0" applyFont="1" applyFill="1" applyAlignment="1"/>
    <xf numFmtId="0" fontId="7" fillId="2" borderId="1" xfId="0" applyFont="1" applyFill="1" applyBorder="1" applyAlignment="1"/>
    <xf numFmtId="0" fontId="7" fillId="3" borderId="1" xfId="0" applyFont="1" applyFill="1" applyBorder="1" applyAlignment="1"/>
    <xf numFmtId="0" fontId="0" fillId="0" borderId="2" xfId="0" applyBorder="1">
      <alignment wrapText="1"/>
    </xf>
    <xf numFmtId="0" fontId="8" fillId="0" borderId="0" xfId="0" applyFont="1" applyAlignment="1">
      <alignment horizontal="left" wrapText="1" indent="1"/>
    </xf>
    <xf numFmtId="0" fontId="8" fillId="0" borderId="2" xfId="0" applyFont="1" applyBorder="1">
      <alignment wrapText="1"/>
    </xf>
    <xf numFmtId="169" fontId="0" fillId="0" borderId="0" xfId="0" applyNumberFormat="1">
      <alignment wrapText="1"/>
    </xf>
    <xf numFmtId="170" fontId="0" fillId="0" borderId="0" xfId="0" applyNumberFormat="1">
      <alignment wrapText="1"/>
    </xf>
    <xf numFmtId="0" fontId="8" fillId="0" borderId="0" xfId="0" applyFont="1" applyAlignment="1">
      <alignment horizontal="left" indent="1"/>
    </xf>
    <xf numFmtId="0" fontId="1" fillId="0" borderId="0" xfId="0" quotePrefix="1" applyFont="1" applyAlignment="1"/>
    <xf numFmtId="0" fontId="4" fillId="4" borderId="0" xfId="0" applyFont="1" applyFill="1" applyAlignment="1">
      <alignment horizontal="centerContinuous" wrapText="1"/>
    </xf>
    <xf numFmtId="0" fontId="4" fillId="4" borderId="0" xfId="0" applyFont="1" applyFill="1">
      <alignment wrapText="1"/>
    </xf>
    <xf numFmtId="0" fontId="4" fillId="4" borderId="0" xfId="0" applyFont="1" applyFill="1" applyAlignment="1"/>
    <xf numFmtId="9" fontId="4" fillId="4" borderId="0" xfId="3" applyFont="1" applyFill="1" applyAlignment="1">
      <alignment wrapText="1"/>
    </xf>
    <xf numFmtId="0" fontId="4" fillId="4" borderId="0" xfId="0" applyFont="1" applyFill="1" applyAlignment="1">
      <alignment horizontal="center" wrapText="1"/>
    </xf>
    <xf numFmtId="0" fontId="9" fillId="4" borderId="0" xfId="0" applyFont="1" applyFill="1" applyAlignment="1">
      <alignment horizontal="centerContinuous" wrapText="1"/>
    </xf>
    <xf numFmtId="0" fontId="10" fillId="4" borderId="0" xfId="0" applyFont="1" applyFill="1" applyAlignment="1">
      <alignment horizontal="centerContinuous" wrapText="1"/>
    </xf>
    <xf numFmtId="0" fontId="11" fillId="4" borderId="0" xfId="0" applyFont="1" applyFill="1" applyAlignment="1">
      <alignment horizontal="centerContinuous" wrapText="1"/>
    </xf>
    <xf numFmtId="0" fontId="10" fillId="4" borderId="0" xfId="0" applyFont="1" applyFill="1" applyAlignment="1">
      <alignment horizontal="centerContinuous"/>
    </xf>
    <xf numFmtId="171" fontId="11" fillId="4" borderId="0" xfId="0" applyNumberFormat="1" applyFont="1" applyFill="1" applyAlignment="1">
      <alignment horizontal="centerContinuous" wrapText="1"/>
    </xf>
    <xf numFmtId="171" fontId="4" fillId="4" borderId="0" xfId="0" applyNumberFormat="1" applyFont="1" applyFill="1" applyAlignment="1">
      <alignment horizontal="centerContinuous" wrapText="1"/>
    </xf>
    <xf numFmtId="0" fontId="8" fillId="0" borderId="0" xfId="0" applyFont="1">
      <alignment wrapText="1"/>
    </xf>
    <xf numFmtId="168" fontId="4" fillId="4" borderId="0" xfId="3" applyNumberFormat="1" applyFont="1" applyFill="1" applyAlignment="1">
      <alignment horizontal="center" wrapText="1"/>
    </xf>
    <xf numFmtId="165" fontId="8" fillId="0" borderId="2" xfId="0" applyNumberFormat="1" applyFont="1" applyBorder="1">
      <alignment wrapText="1"/>
    </xf>
    <xf numFmtId="0" fontId="9" fillId="4" borderId="0" xfId="0" applyFont="1" applyFill="1">
      <alignment wrapText="1"/>
    </xf>
    <xf numFmtId="0" fontId="12" fillId="4" borderId="0" xfId="0" applyFont="1" applyFill="1">
      <alignment wrapText="1"/>
    </xf>
    <xf numFmtId="0" fontId="12" fillId="4" borderId="0" xfId="0" applyFont="1" applyFill="1" applyAlignment="1">
      <alignment horizontal="centerContinuous" wrapText="1"/>
    </xf>
    <xf numFmtId="0" fontId="8" fillId="5" borderId="0" xfId="0" applyFont="1" applyFill="1">
      <alignment wrapText="1"/>
    </xf>
    <xf numFmtId="0" fontId="8" fillId="5" borderId="0" xfId="0" applyFont="1" applyFill="1" applyAlignment="1">
      <alignment horizontal="center" wrapText="1"/>
    </xf>
    <xf numFmtId="0" fontId="0" fillId="5" borderId="0" xfId="0" applyFill="1">
      <alignment wrapText="1"/>
    </xf>
    <xf numFmtId="0" fontId="9" fillId="4" borderId="0" xfId="0" applyFont="1" applyFill="1" applyAlignment="1"/>
    <xf numFmtId="172" fontId="1" fillId="0" borderId="0" xfId="3" applyNumberFormat="1" applyFont="1" applyFill="1" applyAlignment="1">
      <alignment horizontal="right" wrapText="1"/>
    </xf>
    <xf numFmtId="172" fontId="8" fillId="0" borderId="2" xfId="3" applyNumberFormat="1" applyFont="1" applyFill="1" applyBorder="1" applyAlignment="1">
      <alignment horizontal="right" wrapText="1"/>
    </xf>
    <xf numFmtId="164" fontId="0" fillId="0" borderId="2" xfId="2" applyNumberFormat="1" applyFont="1" applyBorder="1" applyAlignment="1">
      <alignment wrapText="1"/>
    </xf>
    <xf numFmtId="0" fontId="13" fillId="0" borderId="0" xfId="0" applyFont="1" applyAlignment="1"/>
    <xf numFmtId="0" fontId="14" fillId="0" borderId="0" xfId="0" applyFont="1" applyAlignment="1"/>
    <xf numFmtId="164" fontId="0" fillId="6" borderId="0" xfId="2" applyNumberFormat="1" applyFont="1" applyFill="1" applyAlignment="1">
      <alignment wrapText="1"/>
    </xf>
    <xf numFmtId="165" fontId="8" fillId="6" borderId="2" xfId="0" applyNumberFormat="1" applyFont="1" applyFill="1" applyBorder="1">
      <alignment wrapText="1"/>
    </xf>
    <xf numFmtId="165" fontId="0" fillId="6" borderId="0" xfId="2" applyNumberFormat="1" applyFont="1" applyFill="1" applyAlignment="1">
      <alignment wrapText="1"/>
    </xf>
    <xf numFmtId="164" fontId="0" fillId="6" borderId="2" xfId="2" applyNumberFormat="1" applyFont="1" applyFill="1" applyBorder="1" applyAlignment="1">
      <alignment wrapText="1"/>
    </xf>
    <xf numFmtId="0" fontId="2" fillId="0" borderId="0" xfId="0" applyFont="1" applyAlignment="1">
      <alignment horizontal="left" vertical="center" wrapText="1"/>
    </xf>
  </cellXfs>
  <cellStyles count="4">
    <cellStyle name="Comma" xfId="2" builtinId="3"/>
    <cellStyle name="Normal" xfId="0" builtinId="0"/>
    <cellStyle name="Percent" xfId="3" builtinId="5"/>
    <cellStyle name="Text UPPER lower" xfId="1" xr:uid="{00000000-0005-0000-0000-000003000000}"/>
  </cellStyles>
  <dxfs count="6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5" formatCode="_(* #,##0_);_(* \(#,##0\);_(* &quot;-&quot;??_);_(@_)"/>
      <alignment horizontal="general" vertical="bottom" textRotation="0" wrapText="0" indent="0" justifyLastLine="0" shrinkToFit="0" readingOrder="0"/>
    </dxf>
    <dxf>
      <numFmt numFmtId="165" formatCode="_(* #,##0_);_(* \(#,##0\);_(* &quot;-&quot;??_);_(@_)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19" formatCode="dd/mm/yy"/>
      <alignment horizontal="general" vertical="bottom" textRotation="0" wrapText="0" indent="0" justifyLastLine="0" shrinkToFit="0" readingOrder="0"/>
    </dxf>
    <dxf>
      <numFmt numFmtId="19" formatCode="dd/mm/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165" formatCode="_(* #,##0_);_(* \(#,##0\);_(* &quot;-&quot;??_);_(@_)"/>
      <alignment horizontal="general" vertical="bottom" textRotation="0" wrapText="0" indent="0" justifyLastLine="0" shrinkToFit="0" readingOrder="0"/>
    </dxf>
    <dxf>
      <numFmt numFmtId="167" formatCode="dd/mm/yyyy;@"/>
      <alignment horizontal="right" vertical="bottom" textRotation="0" wrapText="0" indent="0" justifyLastLine="0" shrinkToFit="0" readingOrder="0"/>
    </dxf>
    <dxf>
      <numFmt numFmtId="19" formatCode="dd/mm/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5" formatCode="_(* #,##0_);_(* \(#,##0\);_(* &quot;-&quot;??_);_(@_)"/>
    </dxf>
    <dxf>
      <alignment wrapText="0"/>
    </dxf>
    <dxf>
      <alignment wrapText="0"/>
    </dxf>
    <dxf>
      <alignment wrapText="0"/>
    </dxf>
    <dxf>
      <alignment wrapText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5" formatCode="_(* #,##0_);_(* \(#,##0\);_(* &quot;-&quot;??_);_(@_)"/>
    </dxf>
    <dxf>
      <alignment wrapText="0"/>
    </dxf>
    <dxf>
      <alignment wrapText="0"/>
    </dxf>
    <dxf>
      <alignment wrapText="0"/>
    </dxf>
    <dxf>
      <alignment wrapText="0"/>
    </dxf>
    <dxf>
      <alignment wrapText="0" indent="0"/>
    </dxf>
    <dxf>
      <numFmt numFmtId="165" formatCode="_(* #,##0_);_(* \(#,##0\);_(* &quot;-&quot;??_);_(@_)"/>
    </dxf>
    <dxf>
      <alignment wrapText="0"/>
    </dxf>
    <dxf>
      <alignment wrapText="0"/>
    </dxf>
    <dxf>
      <alignment wrapText="0"/>
    </dxf>
    <dxf>
      <alignment wrapText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66"/>
      <rgbColor rgb="00DDDDDD"/>
      <rgbColor rgb="00FF0000"/>
      <rgbColor rgb="00CEDED1"/>
      <rgbColor rgb="000000FF"/>
      <rgbColor rgb="00FFFF00"/>
      <rgbColor rgb="00CEDED1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FF3300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66FF33"/>
      <rgbColor rgb="000000FF"/>
      <rgbColor rgb="0000CCFF"/>
      <rgbColor rgb="00CCFFFF"/>
      <rgbColor rgb="00CCFFCC"/>
      <rgbColor rgb="00FFFF99"/>
      <rgbColor rgb="0099CCFF"/>
      <rgbColor rgb="00FF99CC"/>
      <rgbColor rgb="009900FF"/>
      <rgbColor rgb="00FFCC99"/>
      <rgbColor rgb="003366FF"/>
      <rgbColor rgb="0033CCCC"/>
      <rgbColor rgb="0099CC00"/>
      <rgbColor rgb="00CCECFF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1C9FF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[Volume by  Region Data Request v3.xlsx]Pivot!PivotTable4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NAM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Pivot!$A$5:$A$13</c:f>
              <c:multiLvlStrCache>
                <c:ptCount val="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</c:lvl>
                <c:lvl>
                  <c:pt idx="0">
                    <c:v>2020</c:v>
                  </c:pt>
                  <c:pt idx="4">
                    <c:v>2021</c:v>
                  </c:pt>
                </c:lvl>
              </c:multiLvlStrCache>
            </c:multiLvlStrRef>
          </c:cat>
          <c:val>
            <c:numRef>
              <c:f>Pivot!$B$5:$B$13</c:f>
              <c:numCache>
                <c:formatCode>_(* #,##0_);_(* \(#,##0\);_(* "-"??_);_(@_)</c:formatCode>
                <c:ptCount val="6"/>
                <c:pt idx="0">
                  <c:v>509419</c:v>
                </c:pt>
                <c:pt idx="1">
                  <c:v>576618</c:v>
                </c:pt>
                <c:pt idx="2">
                  <c:v>363694</c:v>
                </c:pt>
                <c:pt idx="3">
                  <c:v>432034</c:v>
                </c:pt>
                <c:pt idx="4">
                  <c:v>530019</c:v>
                </c:pt>
                <c:pt idx="5">
                  <c:v>596502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81-4E5F-9D91-7F7C9015B41E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EMEA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Pivot!$A$5:$A$13</c:f>
              <c:multiLvlStrCache>
                <c:ptCount val="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</c:lvl>
                <c:lvl>
                  <c:pt idx="0">
                    <c:v>2020</c:v>
                  </c:pt>
                  <c:pt idx="4">
                    <c:v>2021</c:v>
                  </c:pt>
                </c:lvl>
              </c:multiLvlStrCache>
            </c:multiLvlStrRef>
          </c:cat>
          <c:val>
            <c:numRef>
              <c:f>Pivot!$C$5:$C$13</c:f>
              <c:numCache>
                <c:formatCode>_(* #,##0_);_(* \(#,##0\);_(* "-"??_);_(@_)</c:formatCode>
                <c:ptCount val="6"/>
                <c:pt idx="0">
                  <c:v>147852</c:v>
                </c:pt>
                <c:pt idx="1">
                  <c:v>173566</c:v>
                </c:pt>
                <c:pt idx="2">
                  <c:v>103536</c:v>
                </c:pt>
                <c:pt idx="3">
                  <c:v>129264</c:v>
                </c:pt>
                <c:pt idx="4">
                  <c:v>150204</c:v>
                </c:pt>
                <c:pt idx="5">
                  <c:v>176338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81-4E5F-9D91-7F7C9015B41E}"/>
            </c:ext>
          </c:extLst>
        </c:ser>
        <c:ser>
          <c:idx val="2"/>
          <c:order val="2"/>
          <c:tx>
            <c:strRef>
              <c:f>Pivot!$D$3:$D$4</c:f>
              <c:strCache>
                <c:ptCount val="1"/>
                <c:pt idx="0">
                  <c:v>APAC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Pivot!$A$5:$A$13</c:f>
              <c:multiLvlStrCache>
                <c:ptCount val="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</c:lvl>
                <c:lvl>
                  <c:pt idx="0">
                    <c:v>2020</c:v>
                  </c:pt>
                  <c:pt idx="4">
                    <c:v>2021</c:v>
                  </c:pt>
                </c:lvl>
              </c:multiLvlStrCache>
            </c:multiLvlStrRef>
          </c:cat>
          <c:val>
            <c:numRef>
              <c:f>Pivot!$D$5:$D$13</c:f>
              <c:numCache>
                <c:formatCode>_(* #,##0_);_(* \(#,##0\);_(* "-"??_);_(@_)</c:formatCode>
                <c:ptCount val="6"/>
                <c:pt idx="0">
                  <c:v>95736</c:v>
                </c:pt>
                <c:pt idx="1">
                  <c:v>107338</c:v>
                </c:pt>
                <c:pt idx="2">
                  <c:v>69198</c:v>
                </c:pt>
                <c:pt idx="3">
                  <c:v>80144</c:v>
                </c:pt>
                <c:pt idx="4">
                  <c:v>99778</c:v>
                </c:pt>
                <c:pt idx="5">
                  <c:v>109811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81-4E5F-9D91-7F7C9015B41E}"/>
            </c:ext>
          </c:extLst>
        </c:ser>
        <c:ser>
          <c:idx val="3"/>
          <c:order val="3"/>
          <c:tx>
            <c:strRef>
              <c:f>Pivot!$E$3:$E$4</c:f>
              <c:strCache>
                <c:ptCount val="1"/>
                <c:pt idx="0">
                  <c:v>LATAM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Pivot!$A$5:$A$13</c:f>
              <c:multiLvlStrCache>
                <c:ptCount val="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</c:lvl>
                <c:lvl>
                  <c:pt idx="0">
                    <c:v>2020</c:v>
                  </c:pt>
                  <c:pt idx="4">
                    <c:v>2021</c:v>
                  </c:pt>
                </c:lvl>
              </c:multiLvlStrCache>
            </c:multiLvlStrRef>
          </c:cat>
          <c:val>
            <c:numRef>
              <c:f>Pivot!$E$5:$E$13</c:f>
              <c:numCache>
                <c:formatCode>_(* #,##0_);_(* \(#,##0\);_(* "-"??_);_(@_)</c:formatCode>
                <c:ptCount val="6"/>
                <c:pt idx="0">
                  <c:v>69053</c:v>
                </c:pt>
                <c:pt idx="1">
                  <c:v>82618</c:v>
                </c:pt>
                <c:pt idx="2">
                  <c:v>50574</c:v>
                </c:pt>
                <c:pt idx="3">
                  <c:v>65121</c:v>
                </c:pt>
                <c:pt idx="4">
                  <c:v>75265</c:v>
                </c:pt>
                <c:pt idx="5">
                  <c:v>82631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C81-4E5F-9D91-7F7C9015B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255072"/>
        <c:axId val="125259648"/>
      </c:lineChart>
      <c:catAx>
        <c:axId val="12525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59648"/>
        <c:crosses val="autoZero"/>
        <c:auto val="1"/>
        <c:lblAlgn val="ctr"/>
        <c:lblOffset val="100"/>
        <c:noMultiLvlLbl val="0"/>
      </c:catAx>
      <c:valAx>
        <c:axId val="12525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5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2"/>
          <c:order val="2"/>
          <c:tx>
            <c:strRef>
              <c:f>Summary!$E$24</c:f>
              <c:strCache>
                <c:ptCount val="1"/>
                <c:pt idx="0">
                  <c:v>Q3 2020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80-4DCB-B6D2-E65F648B6E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80-4DCB-B6D2-E65F648B6E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180-4DCB-B6D2-E65F648B6ED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180-4DCB-B6D2-E65F648B6ED4}"/>
              </c:ext>
            </c:extLst>
          </c:dPt>
          <c:cat>
            <c:strRef>
              <c:f>Summary!$B$25:$B$28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f>Summary!$E$25:$E$28</c:f>
              <c:numCache>
                <c:formatCode>_(* #,##0_);_(* \(#,##0\);_(* "-"??_);_(@_)</c:formatCode>
                <c:ptCount val="4"/>
                <c:pt idx="0">
                  <c:v>363694</c:v>
                </c:pt>
                <c:pt idx="1">
                  <c:v>103536</c:v>
                </c:pt>
                <c:pt idx="2">
                  <c:v>69198</c:v>
                </c:pt>
                <c:pt idx="3">
                  <c:v>50574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F1-4889-8623-58AB11F1CF46}"/>
            </c:ext>
          </c:extLst>
        </c:ser>
        <c:ser>
          <c:idx val="5"/>
          <c:order val="5"/>
          <c:tx>
            <c:strRef>
              <c:f>Summary!$H$24</c:f>
              <c:strCache>
                <c:ptCount val="1"/>
                <c:pt idx="0">
                  <c:v>Q2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AF1-4889-8623-58AB11F1CF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AF1-4889-8623-58AB11F1CF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AF1-4889-8623-58AB11F1CF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AF1-4889-8623-58AB11F1CF46}"/>
              </c:ext>
            </c:extLst>
          </c:dPt>
          <c:dLbls>
            <c:dLbl>
              <c:idx val="0"/>
              <c:layout>
                <c:manualLayout>
                  <c:x val="-3.522340772492196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AF1-4889-8623-58AB11F1CF46}"/>
                </c:ext>
              </c:extLst>
            </c:dLbl>
            <c:dLbl>
              <c:idx val="1"/>
              <c:layout>
                <c:manualLayout>
                  <c:x val="3.004694835680751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AF1-4889-8623-58AB11F1CF46}"/>
                </c:ext>
              </c:extLst>
            </c:dLbl>
            <c:dLbl>
              <c:idx val="2"/>
              <c:layout>
                <c:manualLayout>
                  <c:x val="3.200205003960304E-2"/>
                  <c:y val="3.59857419569278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AF1-4889-8623-58AB11F1CF46}"/>
                </c:ext>
              </c:extLst>
            </c:dLbl>
            <c:numFmt formatCode="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Summary!$B$25:$B$28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f>Summary!$H$25:$H$28</c:f>
              <c:numCache>
                <c:formatCode>_(* #,##0_);_(* \(#,##0\);_(* "-"??_);_(@_)</c:formatCode>
                <c:ptCount val="4"/>
                <c:pt idx="0">
                  <c:v>596502</c:v>
                </c:pt>
                <c:pt idx="1">
                  <c:v>176338</c:v>
                </c:pt>
                <c:pt idx="2">
                  <c:v>109811</c:v>
                </c:pt>
                <c:pt idx="3">
                  <c:v>82631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AF1-4889-8623-58AB11F1C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7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Summary!$C$24</c15:sqref>
                        </c15:formulaRef>
                      </c:ext>
                    </c:extLst>
                    <c:strCache>
                      <c:ptCount val="1"/>
                      <c:pt idx="0">
                        <c:v>Q1 2020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1-0180-4DCB-B6D2-E65F648B6ED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3-0180-4DCB-B6D2-E65F648B6ED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5-0180-4DCB-B6D2-E65F648B6ED4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7-0180-4DCB-B6D2-E65F648B6ED4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Summary!$B$25:$B$28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Summary!$C$25:$C$28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509419</c:v>
                      </c:pt>
                      <c:pt idx="1">
                        <c:v>147852</c:v>
                      </c:pt>
                      <c:pt idx="2">
                        <c:v>95736</c:v>
                      </c:pt>
                      <c:pt idx="3">
                        <c:v>69053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AF1-4889-8623-58AB11F1CF46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Summary!$D$24</c15:sqref>
                        </c15:formulaRef>
                      </c:ext>
                    </c:extLst>
                    <c:strCache>
                      <c:ptCount val="1"/>
                      <c:pt idx="0">
                        <c:v>Q2 2020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0180-4DCB-B6D2-E65F648B6ED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B-0180-4DCB-B6D2-E65F648B6ED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D-0180-4DCB-B6D2-E65F648B6ED4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F-0180-4DCB-B6D2-E65F648B6ED4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Summary!$B$25:$B$28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Summary!$D$25:$D$28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576618</c:v>
                      </c:pt>
                      <c:pt idx="1">
                        <c:v>173566</c:v>
                      </c:pt>
                      <c:pt idx="2">
                        <c:v>107338</c:v>
                      </c:pt>
                      <c:pt idx="3">
                        <c:v>82618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AF1-4889-8623-58AB11F1CF46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Summary!$F$24</c15:sqref>
                        </c15:formulaRef>
                      </c:ext>
                    </c:extLst>
                    <c:strCache>
                      <c:ptCount val="1"/>
                      <c:pt idx="0">
                        <c:v>Q4 2020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1-0180-4DCB-B6D2-E65F648B6ED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3-0180-4DCB-B6D2-E65F648B6ED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0180-4DCB-B6D2-E65F648B6ED4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7-0180-4DCB-B6D2-E65F648B6ED4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Summary!$B$25:$B$28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Summary!$F$25:$F$28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432034</c:v>
                      </c:pt>
                      <c:pt idx="1">
                        <c:v>129264</c:v>
                      </c:pt>
                      <c:pt idx="2">
                        <c:v>80144</c:v>
                      </c:pt>
                      <c:pt idx="3">
                        <c:v>65121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AF1-4889-8623-58AB11F1CF46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Summary!$G$24</c15:sqref>
                        </c15:formulaRef>
                      </c:ext>
                    </c:extLst>
                    <c:strCache>
                      <c:ptCount val="1"/>
                      <c:pt idx="0">
                        <c:v>Q1 2021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9-0180-4DCB-B6D2-E65F648B6ED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B-0180-4DCB-B6D2-E65F648B6ED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D-0180-4DCB-B6D2-E65F648B6ED4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F-0180-4DCB-B6D2-E65F648B6ED4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Summary!$B$25:$B$28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Summary!$G$25:$G$28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530019</c:v>
                      </c:pt>
                      <c:pt idx="1">
                        <c:v>150204</c:v>
                      </c:pt>
                      <c:pt idx="2">
                        <c:v>99778</c:v>
                      </c:pt>
                      <c:pt idx="3">
                        <c:v>75265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AF1-4889-8623-58AB11F1CF46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760378325490384"/>
          <c:y val="0.28012699285951703"/>
          <c:w val="0.23825751358544969"/>
          <c:h val="0.533775286822771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8276791672227412"/>
          <c:y val="0.10825124800576398"/>
          <c:w val="0.60960505360558748"/>
          <c:h val="0.88153671967474656"/>
        </c:manualLayout>
      </c:layout>
      <c:doughnutChart>
        <c:varyColors val="1"/>
        <c:ser>
          <c:idx val="5"/>
          <c:order val="5"/>
          <c:tx>
            <c:strRef>
              <c:f>Summary!$H$32</c:f>
              <c:strCache>
                <c:ptCount val="1"/>
                <c:pt idx="0">
                  <c:v>Q2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78C-4450-B571-157886A41A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F78C-4450-B571-157886A41A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F78C-4450-B571-157886A41AC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F78C-4450-B571-157886A41AC5}"/>
              </c:ext>
            </c:extLst>
          </c:dPt>
          <c:dLbls>
            <c:dLbl>
              <c:idx val="0"/>
              <c:layout>
                <c:manualLayout>
                  <c:x val="-3.522340772492196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78C-4450-B571-157886A41AC5}"/>
                </c:ext>
              </c:extLst>
            </c:dLbl>
            <c:dLbl>
              <c:idx val="2"/>
              <c:layout>
                <c:manualLayout>
                  <c:x val="3.200205003960304E-2"/>
                  <c:y val="3.59857419569278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78C-4450-B571-157886A41AC5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Summary!$B$33:$B$36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f>Summary!$H$33:$H$36</c:f>
              <c:numCache>
                <c:formatCode>_(* #,##0.0_);_(* \(#,##0.0\);_(* "-"??_);_(@_)</c:formatCode>
                <c:ptCount val="4"/>
                <c:pt idx="0">
                  <c:v>20</c:v>
                </c:pt>
                <c:pt idx="1">
                  <c:v>8</c:v>
                </c:pt>
                <c:pt idx="2">
                  <c:v>13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78C-4450-B571-157886A41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7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Summary!$C$32</c15:sqref>
                        </c15:formulaRef>
                      </c:ext>
                    </c:extLst>
                    <c:strCache>
                      <c:ptCount val="1"/>
                      <c:pt idx="0">
                        <c:v>Q1 2020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3-F78C-4450-B571-157886A41AC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5-F78C-4450-B571-157886A41AC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7-F78C-4450-B571-157886A41AC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9-F78C-4450-B571-157886A41AC5}"/>
                    </c:ext>
                  </c:extLst>
                </c:dPt>
                <c:cat>
                  <c:strRef>
                    <c:extLst>
                      <c:ext uri="{02D57815-91ED-43cb-92C2-25804820EDAC}">
                        <c15:formulaRef>
                          <c15:sqref>Summary!$B$33:$B$36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Summary!$C$33:$C$36</c15:sqref>
                        </c15:formulaRef>
                      </c:ext>
                    </c:extLst>
                    <c:numCache>
                      <c:formatCode>_(* #,##0.0_);_(* \(#,##0.0\);_(* "-"??_);_(@_)</c:formatCode>
                      <c:ptCount val="4"/>
                      <c:pt idx="0">
                        <c:v>18</c:v>
                      </c:pt>
                      <c:pt idx="1">
                        <c:v>8</c:v>
                      </c:pt>
                      <c:pt idx="2">
                        <c:v>13</c:v>
                      </c:pt>
                      <c:pt idx="3">
                        <c:v>10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A-F78C-4450-B571-157886A41AC5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Summary!$D$32</c15:sqref>
                        </c15:formulaRef>
                      </c:ext>
                    </c:extLst>
                    <c:strCache>
                      <c:ptCount val="1"/>
                      <c:pt idx="0">
                        <c:v>Q2 2020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C-F78C-4450-B571-157886A41AC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E-F78C-4450-B571-157886A41AC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0-F78C-4450-B571-157886A41AC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2-F78C-4450-B571-157886A41AC5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Summary!$B$33:$B$36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Summary!$D$33:$D$36</c15:sqref>
                        </c15:formulaRef>
                      </c:ext>
                    </c:extLst>
                    <c:numCache>
                      <c:formatCode>_(* #,##0.0_);_(* \(#,##0.0\);_(* "-"??_);_(@_)</c:formatCode>
                      <c:ptCount val="4"/>
                      <c:pt idx="0">
                        <c:v>19</c:v>
                      </c:pt>
                      <c:pt idx="1">
                        <c:v>8</c:v>
                      </c:pt>
                      <c:pt idx="2">
                        <c:v>13</c:v>
                      </c:pt>
                      <c:pt idx="3">
                        <c:v>10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F78C-4450-B571-157886A41AC5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Summary!$E$32</c15:sqref>
                        </c15:formulaRef>
                      </c:ext>
                    </c:extLst>
                    <c:strCache>
                      <c:ptCount val="1"/>
                      <c:pt idx="0">
                        <c:v>Q3 2020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1-F78C-4450-B571-157886A41AC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3-F78C-4450-B571-157886A41AC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5-F78C-4450-B571-157886A41AC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7-F78C-4450-B571-157886A41AC5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Summary!$B$33:$B$36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Summary!$E$33:$E$36</c15:sqref>
                        </c15:formulaRef>
                      </c:ext>
                    </c:extLst>
                    <c:numCache>
                      <c:formatCode>_(* #,##0.0_);_(* \(#,##0.0\);_(* "-"??_);_(@_)</c:formatCode>
                      <c:ptCount val="4"/>
                      <c:pt idx="0">
                        <c:v>19</c:v>
                      </c:pt>
                      <c:pt idx="1">
                        <c:v>8</c:v>
                      </c:pt>
                      <c:pt idx="2">
                        <c:v>14</c:v>
                      </c:pt>
                      <c:pt idx="3">
                        <c:v>11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78C-4450-B571-157886A41AC5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Summary!$F$32</c15:sqref>
                        </c15:formulaRef>
                      </c:ext>
                    </c:extLst>
                    <c:strCache>
                      <c:ptCount val="1"/>
                      <c:pt idx="0">
                        <c:v>Q4 2020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F78C-4450-B571-157886A41AC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7-F78C-4450-B571-157886A41AC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9-F78C-4450-B571-157886A41AC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B-F78C-4450-B571-157886A41AC5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Summary!$B$33:$B$36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Summary!$F$33:$F$36</c15:sqref>
                        </c15:formulaRef>
                      </c:ext>
                    </c:extLst>
                    <c:numCache>
                      <c:formatCode>_(* #,##0.0_);_(* \(#,##0.0\);_(* "-"??_);_(@_)</c:formatCode>
                      <c:ptCount val="4"/>
                      <c:pt idx="0">
                        <c:v>20</c:v>
                      </c:pt>
                      <c:pt idx="1">
                        <c:v>8</c:v>
                      </c:pt>
                      <c:pt idx="2">
                        <c:v>14</c:v>
                      </c:pt>
                      <c:pt idx="3">
                        <c:v>11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F78C-4450-B571-157886A41AC5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Summary!$G$32</c15:sqref>
                        </c15:formulaRef>
                      </c:ext>
                    </c:extLst>
                    <c:strCache>
                      <c:ptCount val="1"/>
                      <c:pt idx="0">
                        <c:v>Q1 2021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E-F78C-4450-B571-157886A41AC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0-F78C-4450-B571-157886A41AC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2-F78C-4450-B571-157886A41AC5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4-F78C-4450-B571-157886A41AC5}"/>
                    </c:ext>
                  </c:extLst>
                </c:dPt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Summary!$B$33:$B$36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Summary!$G$33:$G$36</c15:sqref>
                        </c15:formulaRef>
                      </c:ext>
                    </c:extLst>
                    <c:numCache>
                      <c:formatCode>_(* #,##0.0_);_(* \(#,##0.0\);_(* "-"??_);_(@_)</c:formatCode>
                      <c:ptCount val="4"/>
                      <c:pt idx="0">
                        <c:v>20</c:v>
                      </c:pt>
                      <c:pt idx="1">
                        <c:v>8</c:v>
                      </c:pt>
                      <c:pt idx="2">
                        <c:v>14</c:v>
                      </c:pt>
                      <c:pt idx="3">
                        <c:v>11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5-F78C-4450-B571-157886A41AC5}"/>
                  </c:ext>
                </c:extLst>
              </c15:ser>
            </c15:filteredPieSeries>
          </c:ext>
        </c:extLst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Summary!$D$24</c:f>
              <c:strCache>
                <c:ptCount val="1"/>
                <c:pt idx="0">
                  <c:v>Q2 2020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03D-42FC-A666-FD21741D0E2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03D-42FC-A666-FD21741D0E2C}"/>
              </c:ext>
            </c:extLst>
          </c:dPt>
          <c:dLbls>
            <c:numFmt formatCode="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Summary!$B$25:$B$28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f>Summary!$D$25:$D$28</c:f>
              <c:numCache>
                <c:formatCode>_(* #,##0_);_(* \(#,##0\);_(* "-"??_);_(@_)</c:formatCode>
                <c:ptCount val="4"/>
                <c:pt idx="0">
                  <c:v>576618</c:v>
                </c:pt>
                <c:pt idx="1">
                  <c:v>173566</c:v>
                </c:pt>
                <c:pt idx="2">
                  <c:v>107338</c:v>
                </c:pt>
                <c:pt idx="3">
                  <c:v>82618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3D-42FC-A666-FD21741D0E2C}"/>
            </c:ext>
          </c:extLst>
        </c:ser>
        <c:ser>
          <c:idx val="5"/>
          <c:order val="5"/>
          <c:tx>
            <c:strRef>
              <c:f>Summary!$H$24</c:f>
              <c:strCache>
                <c:ptCount val="1"/>
                <c:pt idx="0">
                  <c:v>Q2 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03D-42FC-A666-FD21741D0E2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03D-42FC-A666-FD21741D0E2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903D-42FC-A666-FD21741D0E2C}"/>
              </c:ext>
            </c:extLst>
          </c:dPt>
          <c:dLbls>
            <c:numFmt formatCode="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Summary!$B$25:$B$28</c:f>
              <c:strCache>
                <c:ptCount val="4"/>
                <c:pt idx="0">
                  <c:v>NAM</c:v>
                </c:pt>
                <c:pt idx="1">
                  <c:v>EMEA</c:v>
                </c:pt>
                <c:pt idx="2">
                  <c:v>APAC</c:v>
                </c:pt>
                <c:pt idx="3">
                  <c:v>LATAM</c:v>
                </c:pt>
              </c:strCache>
            </c:strRef>
          </c:cat>
          <c:val>
            <c:numRef>
              <c:f>Summary!$H$25:$H$28</c:f>
              <c:numCache>
                <c:formatCode>_(* #,##0_);_(* \(#,##0\);_(* "-"??_);_(@_)</c:formatCode>
                <c:ptCount val="4"/>
                <c:pt idx="0">
                  <c:v>596502</c:v>
                </c:pt>
                <c:pt idx="1">
                  <c:v>176338</c:v>
                </c:pt>
                <c:pt idx="2">
                  <c:v>109811</c:v>
                </c:pt>
                <c:pt idx="3">
                  <c:v>82631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03D-42FC-A666-FD21741D0E2C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84"/>
        <c:axId val="66734688"/>
        <c:axId val="667355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Summary!$C$24</c15:sqref>
                        </c15:formulaRef>
                      </c:ext>
                    </c:extLst>
                    <c:strCache>
                      <c:ptCount val="1"/>
                      <c:pt idx="0">
                        <c:v>Q1 2020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Summary!$B$25:$B$28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Summary!$C$25:$C$28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509419</c:v>
                      </c:pt>
                      <c:pt idx="1">
                        <c:v>147852</c:v>
                      </c:pt>
                      <c:pt idx="2">
                        <c:v>95736</c:v>
                      </c:pt>
                      <c:pt idx="3">
                        <c:v>69053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03D-42FC-A666-FD21741D0E2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Summary!$E$24</c15:sqref>
                        </c15:formulaRef>
                      </c:ext>
                    </c:extLst>
                    <c:strCache>
                      <c:ptCount val="1"/>
                      <c:pt idx="0">
                        <c:v>Q3 2020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Summary!$B$25:$B$28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Summary!$E$25:$E$28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363694</c:v>
                      </c:pt>
                      <c:pt idx="1">
                        <c:v>103536</c:v>
                      </c:pt>
                      <c:pt idx="2">
                        <c:v>69198</c:v>
                      </c:pt>
                      <c:pt idx="3">
                        <c:v>50574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03D-42FC-A666-FD21741D0E2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Summary!$F$24</c15:sqref>
                        </c15:formulaRef>
                      </c:ext>
                    </c:extLst>
                    <c:strCache>
                      <c:ptCount val="1"/>
                      <c:pt idx="0">
                        <c:v>Q4 2020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Summary!$B$25:$B$28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Summary!$F$25:$F$28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432034</c:v>
                      </c:pt>
                      <c:pt idx="1">
                        <c:v>129264</c:v>
                      </c:pt>
                      <c:pt idx="2">
                        <c:v>80144</c:v>
                      </c:pt>
                      <c:pt idx="3">
                        <c:v>65121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03D-42FC-A666-FD21741D0E2C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Summary!$G$24</c15:sqref>
                        </c15:formulaRef>
                      </c:ext>
                    </c:extLst>
                    <c:strCache>
                      <c:ptCount val="1"/>
                      <c:pt idx="0">
                        <c:v>Q1 2021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Summary!$B$25:$B$28</c15:sqref>
                        </c15:formulaRef>
                      </c:ext>
                    </c:extLst>
                    <c:strCache>
                      <c:ptCount val="4"/>
                      <c:pt idx="0">
                        <c:v>NAM</c:v>
                      </c:pt>
                      <c:pt idx="1">
                        <c:v>EMEA</c:v>
                      </c:pt>
                      <c:pt idx="2">
                        <c:v>APAC</c:v>
                      </c:pt>
                      <c:pt idx="3">
                        <c:v>LATAM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Summary!$G$25:$G$28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530019</c:v>
                      </c:pt>
                      <c:pt idx="1">
                        <c:v>150204</c:v>
                      </c:pt>
                      <c:pt idx="2">
                        <c:v>99778</c:v>
                      </c:pt>
                      <c:pt idx="3">
                        <c:v>75265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03D-42FC-A666-FD21741D0E2C}"/>
                  </c:ext>
                </c:extLst>
              </c15:ser>
            </c15:filteredBarSeries>
          </c:ext>
        </c:extLst>
      </c:barChart>
      <c:catAx>
        <c:axId val="667346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35520"/>
        <c:crosses val="autoZero"/>
        <c:auto val="1"/>
        <c:lblAlgn val="ctr"/>
        <c:lblOffset val="100"/>
        <c:noMultiLvlLbl val="0"/>
      </c:catAx>
      <c:valAx>
        <c:axId val="6673552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crossAx val="6673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784273840769908"/>
          <c:y val="9.3170749489647153E-2"/>
          <c:w val="0.14057707528288235"/>
          <c:h val="0.140804009668283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2</xdr:row>
      <xdr:rowOff>85725</xdr:rowOff>
    </xdr:from>
    <xdr:to>
      <xdr:col>18</xdr:col>
      <xdr:colOff>438151</xdr:colOff>
      <xdr:row>15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293267-915D-ADAB-1A4D-F45C2D5A89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152401</xdr:colOff>
      <xdr:row>8</xdr:row>
      <xdr:rowOff>38100</xdr:rowOff>
    </xdr:from>
    <xdr:to>
      <xdr:col>4</xdr:col>
      <xdr:colOff>419101</xdr:colOff>
      <xdr:row>21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3B5DB7-9D36-D928-3D4B-81FD3E6ED3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304800</xdr:colOff>
      <xdr:row>8</xdr:row>
      <xdr:rowOff>28576</xdr:rowOff>
    </xdr:from>
    <xdr:to>
      <xdr:col>7</xdr:col>
      <xdr:colOff>161925</xdr:colOff>
      <xdr:row>20</xdr:row>
      <xdr:rowOff>28576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23B011-9B74-48AD-A585-385A3043A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233362</xdr:colOff>
      <xdr:row>2</xdr:row>
      <xdr:rowOff>28575</xdr:rowOff>
    </xdr:from>
    <xdr:to>
      <xdr:col>15</xdr:col>
      <xdr:colOff>447676</xdr:colOff>
      <xdr:row>20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4FE92ED-8049-78B8-F850-B5DDBFE9E8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143.437745254632" createdVersion="8" refreshedVersion="8" minRefreshableVersion="3" recordCount="907" xr:uid="{1E98EED9-2090-494F-B6F0-3F5D2B9B439B}">
  <cacheSource type="worksheet">
    <worksheetSource name="VolumebyClient"/>
  </cacheSource>
  <cacheFields count="11">
    <cacheField name="CLID" numFmtId="14">
      <sharedItems count="53">
        <s v="CL11420"/>
        <s v="CL13213"/>
        <s v="CL13257"/>
        <s v="CL17270"/>
        <s v="CL22140"/>
        <s v="CL22675"/>
        <s v="CL23634"/>
        <s v="CL24510"/>
        <s v="CL28683"/>
        <s v="CL29380"/>
        <s v="CL31601"/>
        <s v="CL33189"/>
        <s v="CL35993"/>
        <s v="CL36191"/>
        <s v="CL37714"/>
        <s v="CL37879"/>
        <s v="CL38496"/>
        <s v="CL43946"/>
        <s v="CL44634"/>
        <s v="CL46663"/>
        <s v="CL49900"/>
        <s v="CL49960"/>
        <s v="CL50297"/>
        <s v="CL50651"/>
        <s v="CL52426"/>
        <s v="CL55399"/>
        <s v="CL57593"/>
        <s v="CL60563"/>
        <s v="CL61534"/>
        <s v="CL64939"/>
        <s v="CL67438"/>
        <s v="CL69323"/>
        <s v="CL71409"/>
        <s v="CL75274"/>
        <s v="CL75562"/>
        <s v="CL79103"/>
        <s v="CL79204"/>
        <s v="CL81431"/>
        <s v="CL82440"/>
        <s v="CL83029"/>
        <s v="CL83083"/>
        <s v="CL85641"/>
        <s v="CL87149"/>
        <s v="CL87299"/>
        <s v="CL90358"/>
        <s v="CL92654"/>
        <s v="CL94846"/>
        <s v="CL95487"/>
        <s v="CL96487"/>
        <s v="CL96680"/>
        <s v="CL97995"/>
        <s v="CL99496"/>
        <s v="CL99768"/>
      </sharedItems>
    </cacheField>
    <cacheField name="Date" numFmtId="167">
      <sharedItems containsSemiMixedTypes="0" containsNonDate="0" containsDate="1" containsString="0" minDate="2020-01-31T00:00:00" maxDate="2021-07-01T00:00:00" count="18">
        <d v="2020-03-31T00:00:00"/>
        <d v="2020-04-30T00:00:00"/>
        <d v="2020-05-31T00:00:00"/>
        <d v="2020-06-30T00:00:00"/>
        <d v="2020-07-31T00:00:00"/>
        <d v="2020-08-31T00:00:00"/>
        <d v="2020-09-30T00:00:00"/>
        <d v="2020-10-31T00:00:00"/>
        <d v="2020-11-30T00:00:00"/>
        <d v="2020-12-31T00:00:00"/>
        <d v="2021-06-30T00:00:00"/>
        <d v="2021-05-31T00:00:00"/>
        <d v="2021-04-30T00:00:00"/>
        <d v="2021-03-31T00:00:00"/>
        <d v="2021-02-28T00:00:00"/>
        <d v="2021-01-31T00:00:00"/>
        <d v="2020-01-31T00:00:00"/>
        <d v="2020-02-29T00:00:00"/>
      </sharedItems>
      <fieldGroup par="10" base="1">
        <rangePr groupBy="months" startDate="2020-01-31T00:00:00" endDate="2021-07-01T00:00:00"/>
        <groupItems count="14">
          <s v="&lt;31-01-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1"/>
        </groupItems>
      </fieldGroup>
    </cacheField>
    <cacheField name="Vol" numFmtId="165">
      <sharedItems containsSemiMixedTypes="0" containsString="0" containsNumber="1" containsInteger="1" minValue="26" maxValue="41598"/>
    </cacheField>
    <cacheField name="LEN" numFmtId="0">
      <sharedItems containsSemiMixedTypes="0" containsString="0" containsNumber="1" containsInteger="1" minValue="7" maxValue="7"/>
    </cacheField>
    <cacheField name="Xlookup Region ID" numFmtId="0">
      <sharedItems containsNonDate="0" containsString="0" containsBlank="1"/>
    </cacheField>
    <cacheField name="Index Match Region ID" numFmtId="0">
      <sharedItems/>
    </cacheField>
    <cacheField name="Region Name" numFmtId="0">
      <sharedItems count="4">
        <s v="LATAM"/>
        <s v="NAM"/>
        <s v="EMEA"/>
        <s v="APAC"/>
      </sharedItems>
    </cacheField>
    <cacheField name="Quarter" numFmtId="0">
      <sharedItems/>
    </cacheField>
    <cacheField name="Quarter by Vlookup" numFmtId="0">
      <sharedItems/>
    </cacheField>
    <cacheField name="Quarters" numFmtId="0" databaseField="0">
      <fieldGroup base="1">
        <rangePr groupBy="quarters" startDate="2020-01-31T00:00:00" endDate="2021-07-01T00:00:00"/>
        <groupItems count="6">
          <s v="&lt;31-01-20"/>
          <s v="Qtr1"/>
          <s v="Qtr2"/>
          <s v="Qtr3"/>
          <s v="Qtr4"/>
          <s v="&gt;01-07-21"/>
        </groupItems>
      </fieldGroup>
    </cacheField>
    <cacheField name="Years" numFmtId="0" databaseField="0">
      <fieldGroup base="1">
        <rangePr groupBy="years" startDate="2020-01-31T00:00:00" endDate="2021-07-01T00:00:00"/>
        <groupItems count="4">
          <s v="&lt;31-01-20"/>
          <s v="2020"/>
          <s v="2021"/>
          <s v="&gt;01-07-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7">
  <r>
    <x v="0"/>
    <x v="0"/>
    <n v="884"/>
    <n v="7"/>
    <m/>
    <s v="GEO1004"/>
    <x v="0"/>
    <s v="Q1 2020"/>
    <s v="Q1 2020"/>
  </r>
  <r>
    <x v="0"/>
    <x v="1"/>
    <n v="886"/>
    <n v="7"/>
    <m/>
    <s v="GEO1004"/>
    <x v="0"/>
    <s v="Q2 2020"/>
    <s v="Q2 2020"/>
  </r>
  <r>
    <x v="0"/>
    <x v="2"/>
    <n v="968"/>
    <n v="7"/>
    <m/>
    <s v="GEO1004"/>
    <x v="0"/>
    <s v="Q2 2020"/>
    <s v="Q2 2020"/>
  </r>
  <r>
    <x v="0"/>
    <x v="3"/>
    <n v="564"/>
    <n v="7"/>
    <m/>
    <s v="GEO1004"/>
    <x v="0"/>
    <s v="Q2 2020"/>
    <s v="Q2 2020"/>
  </r>
  <r>
    <x v="0"/>
    <x v="4"/>
    <n v="648"/>
    <n v="7"/>
    <m/>
    <s v="GEO1004"/>
    <x v="0"/>
    <s v="Q3 2020"/>
    <s v="Q3 2020"/>
  </r>
  <r>
    <x v="0"/>
    <x v="5"/>
    <n v="406"/>
    <n v="7"/>
    <m/>
    <s v="GEO1004"/>
    <x v="0"/>
    <s v="Q3 2020"/>
    <s v="Q3 2020"/>
  </r>
  <r>
    <x v="0"/>
    <x v="6"/>
    <n v="569"/>
    <n v="7"/>
    <m/>
    <s v="GEO1004"/>
    <x v="0"/>
    <s v="Q3 2020"/>
    <s v="Q3 2020"/>
  </r>
  <r>
    <x v="0"/>
    <x v="7"/>
    <n v="487"/>
    <n v="7"/>
    <m/>
    <s v="GEO1004"/>
    <x v="0"/>
    <s v="Q4 2020"/>
    <s v="Q4 2020"/>
  </r>
  <r>
    <x v="0"/>
    <x v="8"/>
    <n v="729"/>
    <n v="7"/>
    <m/>
    <s v="GEO1004"/>
    <x v="0"/>
    <s v="Q4 2020"/>
    <s v="Q4 2020"/>
  </r>
  <r>
    <x v="0"/>
    <x v="9"/>
    <n v="565"/>
    <n v="7"/>
    <m/>
    <s v="GEO1004"/>
    <x v="0"/>
    <s v="Q4 2020"/>
    <s v="Q4 2020"/>
  </r>
  <r>
    <x v="0"/>
    <x v="10"/>
    <n v="561"/>
    <n v="7"/>
    <m/>
    <s v="GEO1004"/>
    <x v="0"/>
    <s v="Q2 2021"/>
    <s v="Q2 2021"/>
  </r>
  <r>
    <x v="0"/>
    <x v="11"/>
    <n v="1014"/>
    <n v="7"/>
    <m/>
    <s v="GEO1004"/>
    <x v="0"/>
    <s v="Q2 2021"/>
    <s v="Q2 2021"/>
  </r>
  <r>
    <x v="0"/>
    <x v="12"/>
    <n v="878"/>
    <n v="7"/>
    <m/>
    <s v="GEO1004"/>
    <x v="0"/>
    <s v="Q2 2021"/>
    <s v="Q2 2021"/>
  </r>
  <r>
    <x v="0"/>
    <x v="13"/>
    <n v="922"/>
    <n v="7"/>
    <m/>
    <s v="GEO1004"/>
    <x v="0"/>
    <s v="Q1 2021"/>
    <s v="Q1 2021"/>
  </r>
  <r>
    <x v="0"/>
    <x v="14"/>
    <n v="668"/>
    <n v="7"/>
    <m/>
    <s v="GEO1004"/>
    <x v="0"/>
    <s v="Q1 2021"/>
    <s v="Q1 2021"/>
  </r>
  <r>
    <x v="0"/>
    <x v="15"/>
    <n v="725"/>
    <n v="7"/>
    <m/>
    <s v="GEO1004"/>
    <x v="0"/>
    <s v="Q1 2021"/>
    <s v="Q1 2021"/>
  </r>
  <r>
    <x v="1"/>
    <x v="16"/>
    <n v="1194"/>
    <n v="7"/>
    <m/>
    <s v="GEO1001"/>
    <x v="1"/>
    <s v="Q1 2020"/>
    <s v="Q1 2020"/>
  </r>
  <r>
    <x v="1"/>
    <x v="17"/>
    <n v="942"/>
    <n v="7"/>
    <m/>
    <s v="GEO1001"/>
    <x v="1"/>
    <s v="Q1 2020"/>
    <s v="Q1 2020"/>
  </r>
  <r>
    <x v="1"/>
    <x v="0"/>
    <n v="1448"/>
    <n v="7"/>
    <m/>
    <s v="GEO1001"/>
    <x v="1"/>
    <s v="Q1 2020"/>
    <s v="Q1 2020"/>
  </r>
  <r>
    <x v="1"/>
    <x v="1"/>
    <n v="1323"/>
    <n v="7"/>
    <m/>
    <s v="GEO1001"/>
    <x v="1"/>
    <s v="Q2 2020"/>
    <s v="Q2 2020"/>
  </r>
  <r>
    <x v="1"/>
    <x v="2"/>
    <n v="1573"/>
    <n v="7"/>
    <m/>
    <s v="GEO1001"/>
    <x v="1"/>
    <s v="Q2 2020"/>
    <s v="Q2 2020"/>
  </r>
  <r>
    <x v="1"/>
    <x v="3"/>
    <n v="820"/>
    <n v="7"/>
    <m/>
    <s v="GEO1001"/>
    <x v="1"/>
    <s v="Q2 2020"/>
    <s v="Q2 2020"/>
  </r>
  <r>
    <x v="1"/>
    <x v="4"/>
    <n v="1069"/>
    <n v="7"/>
    <m/>
    <s v="GEO1001"/>
    <x v="1"/>
    <s v="Q3 2020"/>
    <s v="Q3 2020"/>
  </r>
  <r>
    <x v="1"/>
    <x v="5"/>
    <n v="571"/>
    <n v="7"/>
    <m/>
    <s v="GEO1001"/>
    <x v="1"/>
    <s v="Q3 2020"/>
    <s v="Q3 2020"/>
  </r>
  <r>
    <x v="1"/>
    <x v="6"/>
    <n v="947"/>
    <n v="7"/>
    <m/>
    <s v="GEO1001"/>
    <x v="1"/>
    <s v="Q3 2020"/>
    <s v="Q3 2020"/>
  </r>
  <r>
    <x v="1"/>
    <x v="7"/>
    <n v="694"/>
    <n v="7"/>
    <m/>
    <s v="GEO1001"/>
    <x v="1"/>
    <s v="Q4 2020"/>
    <s v="Q4 2020"/>
  </r>
  <r>
    <x v="1"/>
    <x v="8"/>
    <n v="1197"/>
    <n v="7"/>
    <m/>
    <s v="GEO1001"/>
    <x v="1"/>
    <s v="Q4 2020"/>
    <s v="Q4 2020"/>
  </r>
  <r>
    <x v="1"/>
    <x v="9"/>
    <n v="822"/>
    <n v="7"/>
    <m/>
    <s v="GEO1001"/>
    <x v="1"/>
    <s v="Q4 2020"/>
    <s v="Q4 2020"/>
  </r>
  <r>
    <x v="1"/>
    <x v="10"/>
    <n v="846"/>
    <n v="7"/>
    <m/>
    <s v="GEO1001"/>
    <x v="1"/>
    <s v="Q2 2021"/>
    <s v="Q2 2021"/>
  </r>
  <r>
    <x v="1"/>
    <x v="11"/>
    <n v="1553"/>
    <n v="7"/>
    <m/>
    <s v="GEO1001"/>
    <x v="1"/>
    <s v="Q2 2021"/>
    <s v="Q2 2021"/>
  </r>
  <r>
    <x v="1"/>
    <x v="12"/>
    <n v="1344"/>
    <n v="7"/>
    <m/>
    <s v="GEO1001"/>
    <x v="1"/>
    <s v="Q2 2021"/>
    <s v="Q2 2021"/>
  </r>
  <r>
    <x v="1"/>
    <x v="13"/>
    <n v="1436"/>
    <n v="7"/>
    <m/>
    <s v="GEO1001"/>
    <x v="1"/>
    <s v="Q1 2021"/>
    <s v="Q1 2021"/>
  </r>
  <r>
    <x v="1"/>
    <x v="14"/>
    <n v="970"/>
    <n v="7"/>
    <m/>
    <s v="GEO1001"/>
    <x v="1"/>
    <s v="Q1 2021"/>
    <s v="Q1 2021"/>
  </r>
  <r>
    <x v="1"/>
    <x v="15"/>
    <n v="1207"/>
    <n v="7"/>
    <m/>
    <s v="GEO1001"/>
    <x v="1"/>
    <s v="Q1 2021"/>
    <s v="Q1 2021"/>
  </r>
  <r>
    <x v="2"/>
    <x v="16"/>
    <n v="532"/>
    <n v="7"/>
    <m/>
    <s v="GEO1003"/>
    <x v="2"/>
    <s v="Q1 2020"/>
    <s v="Q1 2020"/>
  </r>
  <r>
    <x v="2"/>
    <x v="17"/>
    <n v="760"/>
    <n v="7"/>
    <m/>
    <s v="GEO1003"/>
    <x v="2"/>
    <s v="Q1 2020"/>
    <s v="Q1 2020"/>
  </r>
  <r>
    <x v="2"/>
    <x v="0"/>
    <n v="682"/>
    <n v="7"/>
    <m/>
    <s v="GEO1003"/>
    <x v="2"/>
    <s v="Q1 2020"/>
    <s v="Q1 2020"/>
  </r>
  <r>
    <x v="2"/>
    <x v="1"/>
    <n v="984"/>
    <n v="7"/>
    <m/>
    <s v="GEO1003"/>
    <x v="2"/>
    <s v="Q2 2020"/>
    <s v="Q2 2020"/>
  </r>
  <r>
    <x v="2"/>
    <x v="2"/>
    <n v="760"/>
    <n v="7"/>
    <m/>
    <s v="GEO1003"/>
    <x v="2"/>
    <s v="Q2 2020"/>
    <s v="Q2 2020"/>
  </r>
  <r>
    <x v="2"/>
    <x v="3"/>
    <n v="681"/>
    <n v="7"/>
    <m/>
    <s v="GEO1003"/>
    <x v="2"/>
    <s v="Q2 2020"/>
    <s v="Q2 2020"/>
  </r>
  <r>
    <x v="2"/>
    <x v="4"/>
    <n v="457"/>
    <n v="7"/>
    <m/>
    <s v="GEO1003"/>
    <x v="2"/>
    <s v="Q3 2020"/>
    <s v="Q3 2020"/>
  </r>
  <r>
    <x v="2"/>
    <x v="5"/>
    <n v="528"/>
    <n v="7"/>
    <m/>
    <s v="GEO1003"/>
    <x v="2"/>
    <s v="Q3 2020"/>
    <s v="Q3 2020"/>
  </r>
  <r>
    <x v="2"/>
    <x v="6"/>
    <n v="377"/>
    <n v="7"/>
    <m/>
    <s v="GEO1003"/>
    <x v="2"/>
    <s v="Q3 2020"/>
    <s v="Q3 2020"/>
  </r>
  <r>
    <x v="2"/>
    <x v="7"/>
    <n v="606"/>
    <n v="7"/>
    <m/>
    <s v="GEO1003"/>
    <x v="2"/>
    <s v="Q4 2020"/>
    <s v="Q4 2020"/>
  </r>
  <r>
    <x v="2"/>
    <x v="8"/>
    <n v="534"/>
    <n v="7"/>
    <m/>
    <s v="GEO1003"/>
    <x v="2"/>
    <s v="Q4 2020"/>
    <s v="Q4 2020"/>
  </r>
  <r>
    <x v="2"/>
    <x v="9"/>
    <n v="681"/>
    <n v="7"/>
    <m/>
    <s v="GEO1003"/>
    <x v="2"/>
    <s v="Q4 2020"/>
    <s v="Q4 2020"/>
  </r>
  <r>
    <x v="2"/>
    <x v="11"/>
    <n v="764"/>
    <n v="7"/>
    <m/>
    <s v="GEO1003"/>
    <x v="2"/>
    <s v="Q2 2021"/>
    <s v="Q2 2021"/>
  </r>
  <r>
    <x v="2"/>
    <x v="12"/>
    <n v="973"/>
    <n v="7"/>
    <m/>
    <s v="GEO1003"/>
    <x v="2"/>
    <s v="Q2 2021"/>
    <s v="Q2 2021"/>
  </r>
  <r>
    <x v="2"/>
    <x v="13"/>
    <n v="688"/>
    <n v="7"/>
    <m/>
    <s v="GEO1003"/>
    <x v="2"/>
    <s v="Q1 2021"/>
    <s v="Q1 2021"/>
  </r>
  <r>
    <x v="2"/>
    <x v="14"/>
    <n v="750"/>
    <n v="7"/>
    <m/>
    <s v="GEO1003"/>
    <x v="2"/>
    <s v="Q1 2021"/>
    <s v="Q1 2021"/>
  </r>
  <r>
    <x v="2"/>
    <x v="15"/>
    <n v="554"/>
    <n v="7"/>
    <m/>
    <s v="GEO1003"/>
    <x v="2"/>
    <s v="Q1 2021"/>
    <s v="Q1 2021"/>
  </r>
  <r>
    <x v="3"/>
    <x v="3"/>
    <n v="1342"/>
    <n v="7"/>
    <m/>
    <s v="GEO1001"/>
    <x v="1"/>
    <s v="Q2 2020"/>
    <s v="Q2 2020"/>
  </r>
  <r>
    <x v="3"/>
    <x v="4"/>
    <n v="1526"/>
    <n v="7"/>
    <m/>
    <s v="GEO1001"/>
    <x v="1"/>
    <s v="Q3 2020"/>
    <s v="Q3 2020"/>
  </r>
  <r>
    <x v="3"/>
    <x v="5"/>
    <n v="958"/>
    <n v="7"/>
    <m/>
    <s v="GEO1001"/>
    <x v="1"/>
    <s v="Q3 2020"/>
    <s v="Q3 2020"/>
  </r>
  <r>
    <x v="3"/>
    <x v="6"/>
    <n v="1340"/>
    <n v="7"/>
    <m/>
    <s v="GEO1001"/>
    <x v="1"/>
    <s v="Q3 2020"/>
    <s v="Q3 2020"/>
  </r>
  <r>
    <x v="3"/>
    <x v="7"/>
    <n v="1150"/>
    <n v="7"/>
    <m/>
    <s v="GEO1001"/>
    <x v="1"/>
    <s v="Q4 2020"/>
    <s v="Q4 2020"/>
  </r>
  <r>
    <x v="3"/>
    <x v="8"/>
    <n v="1721"/>
    <n v="7"/>
    <m/>
    <s v="GEO1001"/>
    <x v="1"/>
    <s v="Q4 2020"/>
    <s v="Q4 2020"/>
  </r>
  <r>
    <x v="3"/>
    <x v="9"/>
    <n v="1342"/>
    <n v="7"/>
    <m/>
    <s v="GEO1001"/>
    <x v="1"/>
    <s v="Q4 2020"/>
    <s v="Q4 2020"/>
  </r>
  <r>
    <x v="3"/>
    <x v="10"/>
    <n v="1325"/>
    <n v="7"/>
    <m/>
    <s v="GEO1001"/>
    <x v="1"/>
    <s v="Q2 2021"/>
    <s v="Q2 2021"/>
  </r>
  <r>
    <x v="3"/>
    <x v="11"/>
    <n v="2403"/>
    <n v="7"/>
    <m/>
    <s v="GEO1001"/>
    <x v="1"/>
    <s v="Q2 2021"/>
    <s v="Q2 2021"/>
  </r>
  <r>
    <x v="3"/>
    <x v="12"/>
    <n v="2089"/>
    <n v="7"/>
    <m/>
    <s v="GEO1001"/>
    <x v="1"/>
    <s v="Q2 2021"/>
    <s v="Q2 2021"/>
  </r>
  <r>
    <x v="3"/>
    <x v="13"/>
    <n v="2185"/>
    <n v="7"/>
    <m/>
    <s v="GEO1001"/>
    <x v="1"/>
    <s v="Q1 2021"/>
    <s v="Q1 2021"/>
  </r>
  <r>
    <x v="3"/>
    <x v="14"/>
    <n v="1542"/>
    <n v="7"/>
    <m/>
    <s v="GEO1001"/>
    <x v="1"/>
    <s v="Q1 2021"/>
    <s v="Q1 2021"/>
  </r>
  <r>
    <x v="3"/>
    <x v="15"/>
    <n v="1804"/>
    <n v="7"/>
    <m/>
    <s v="GEO1001"/>
    <x v="1"/>
    <s v="Q1 2021"/>
    <s v="Q1 2021"/>
  </r>
  <r>
    <x v="4"/>
    <x v="16"/>
    <n v="12887"/>
    <n v="7"/>
    <m/>
    <s v="GEO1001"/>
    <x v="1"/>
    <s v="Q1 2020"/>
    <s v="Q1 2020"/>
  </r>
  <r>
    <x v="4"/>
    <x v="17"/>
    <n v="18411"/>
    <n v="7"/>
    <m/>
    <s v="GEO1001"/>
    <x v="1"/>
    <s v="Q1 2020"/>
    <s v="Q1 2020"/>
  </r>
  <r>
    <x v="4"/>
    <x v="0"/>
    <n v="16571"/>
    <n v="7"/>
    <m/>
    <s v="GEO1001"/>
    <x v="1"/>
    <s v="Q1 2020"/>
    <s v="Q1 2020"/>
  </r>
  <r>
    <x v="4"/>
    <x v="1"/>
    <n v="23929"/>
    <n v="7"/>
    <m/>
    <s v="GEO1001"/>
    <x v="1"/>
    <s v="Q2 2020"/>
    <s v="Q2 2020"/>
  </r>
  <r>
    <x v="4"/>
    <x v="2"/>
    <n v="18409"/>
    <n v="7"/>
    <m/>
    <s v="GEO1001"/>
    <x v="1"/>
    <s v="Q2 2020"/>
    <s v="Q2 2020"/>
  </r>
  <r>
    <x v="4"/>
    <x v="3"/>
    <n v="16572"/>
    <n v="7"/>
    <m/>
    <s v="GEO1001"/>
    <x v="1"/>
    <s v="Q2 2020"/>
    <s v="Q2 2020"/>
  </r>
  <r>
    <x v="4"/>
    <x v="4"/>
    <n v="11044"/>
    <n v="7"/>
    <m/>
    <s v="GEO1001"/>
    <x v="1"/>
    <s v="Q3 2020"/>
    <s v="Q3 2020"/>
  </r>
  <r>
    <x v="4"/>
    <x v="5"/>
    <n v="12885"/>
    <n v="7"/>
    <m/>
    <s v="GEO1001"/>
    <x v="1"/>
    <s v="Q3 2020"/>
    <s v="Q3 2020"/>
  </r>
  <r>
    <x v="4"/>
    <x v="6"/>
    <n v="9208"/>
    <n v="7"/>
    <m/>
    <s v="GEO1001"/>
    <x v="1"/>
    <s v="Q3 2020"/>
    <s v="Q3 2020"/>
  </r>
  <r>
    <x v="4"/>
    <x v="7"/>
    <n v="14725"/>
    <n v="7"/>
    <m/>
    <s v="GEO1001"/>
    <x v="1"/>
    <s v="Q4 2020"/>
    <s v="Q4 2020"/>
  </r>
  <r>
    <x v="4"/>
    <x v="8"/>
    <n v="12888"/>
    <n v="7"/>
    <m/>
    <s v="GEO1001"/>
    <x v="1"/>
    <s v="Q4 2020"/>
    <s v="Q4 2020"/>
  </r>
  <r>
    <x v="4"/>
    <x v="9"/>
    <n v="16571"/>
    <n v="7"/>
    <m/>
    <s v="GEO1001"/>
    <x v="1"/>
    <s v="Q4 2020"/>
    <s v="Q4 2020"/>
  </r>
  <r>
    <x v="4"/>
    <x v="10"/>
    <n v="17235"/>
    <n v="7"/>
    <m/>
    <s v="GEO1001"/>
    <x v="1"/>
    <s v="Q2 2021"/>
    <s v="Q2 2021"/>
  </r>
  <r>
    <x v="4"/>
    <x v="11"/>
    <n v="19146"/>
    <n v="7"/>
    <m/>
    <s v="GEO1001"/>
    <x v="1"/>
    <s v="Q2 2021"/>
    <s v="Q2 2021"/>
  </r>
  <r>
    <x v="4"/>
    <x v="12"/>
    <n v="23690"/>
    <n v="7"/>
    <m/>
    <s v="GEO1001"/>
    <x v="1"/>
    <s v="Q2 2021"/>
    <s v="Q2 2021"/>
  </r>
  <r>
    <x v="4"/>
    <x v="13"/>
    <n v="17229"/>
    <n v="7"/>
    <m/>
    <s v="GEO1001"/>
    <x v="1"/>
    <s v="Q1 2021"/>
    <s v="Q1 2021"/>
  </r>
  <r>
    <x v="4"/>
    <x v="14"/>
    <n v="19330"/>
    <n v="7"/>
    <m/>
    <s v="GEO1001"/>
    <x v="1"/>
    <s v="Q1 2021"/>
    <s v="Q1 2021"/>
  </r>
  <r>
    <x v="4"/>
    <x v="15"/>
    <n v="12826"/>
    <n v="7"/>
    <m/>
    <s v="GEO1001"/>
    <x v="1"/>
    <s v="Q1 2021"/>
    <s v="Q1 2021"/>
  </r>
  <r>
    <x v="5"/>
    <x v="6"/>
    <n v="1249"/>
    <n v="7"/>
    <m/>
    <s v="GEO1004"/>
    <x v="0"/>
    <s v="Q3 2020"/>
    <s v="Q3 2020"/>
  </r>
  <r>
    <x v="5"/>
    <x v="7"/>
    <n v="913"/>
    <n v="7"/>
    <m/>
    <s v="GEO1004"/>
    <x v="0"/>
    <s v="Q4 2020"/>
    <s v="Q4 2020"/>
  </r>
  <r>
    <x v="5"/>
    <x v="8"/>
    <n v="1574"/>
    <n v="7"/>
    <m/>
    <s v="GEO1004"/>
    <x v="0"/>
    <s v="Q4 2020"/>
    <s v="Q4 2020"/>
  </r>
  <r>
    <x v="5"/>
    <x v="9"/>
    <n v="1082"/>
    <n v="7"/>
    <m/>
    <s v="GEO1004"/>
    <x v="0"/>
    <s v="Q4 2020"/>
    <s v="Q4 2020"/>
  </r>
  <r>
    <x v="5"/>
    <x v="13"/>
    <n v="1945"/>
    <n v="7"/>
    <m/>
    <s v="GEO1004"/>
    <x v="0"/>
    <s v="Q1 2021"/>
    <s v="Q1 2021"/>
  </r>
  <r>
    <x v="5"/>
    <x v="14"/>
    <n v="1296"/>
    <n v="7"/>
    <m/>
    <s v="GEO1004"/>
    <x v="0"/>
    <s v="Q1 2021"/>
    <s v="Q1 2021"/>
  </r>
  <r>
    <x v="5"/>
    <x v="15"/>
    <n v="1568"/>
    <n v="7"/>
    <m/>
    <s v="GEO1004"/>
    <x v="0"/>
    <s v="Q1 2021"/>
    <s v="Q1 2021"/>
  </r>
  <r>
    <x v="6"/>
    <x v="16"/>
    <n v="756"/>
    <n v="7"/>
    <m/>
    <s v="GEO1004"/>
    <x v="0"/>
    <s v="Q1 2020"/>
    <s v="Q1 2020"/>
  </r>
  <r>
    <x v="6"/>
    <x v="17"/>
    <n v="954"/>
    <n v="7"/>
    <m/>
    <s v="GEO1004"/>
    <x v="0"/>
    <s v="Q1 2020"/>
    <s v="Q1 2020"/>
  </r>
  <r>
    <x v="6"/>
    <x v="0"/>
    <n v="955"/>
    <n v="7"/>
    <m/>
    <s v="GEO1004"/>
    <x v="0"/>
    <s v="Q1 2020"/>
    <s v="Q1 2020"/>
  </r>
  <r>
    <x v="6"/>
    <x v="1"/>
    <n v="1261"/>
    <n v="7"/>
    <m/>
    <s v="GEO1004"/>
    <x v="0"/>
    <s v="Q2 2020"/>
    <s v="Q2 2020"/>
  </r>
  <r>
    <x v="6"/>
    <x v="2"/>
    <n v="1058"/>
    <n v="7"/>
    <m/>
    <s v="GEO1004"/>
    <x v="0"/>
    <s v="Q2 2020"/>
    <s v="Q2 2020"/>
  </r>
  <r>
    <x v="6"/>
    <x v="3"/>
    <n v="855"/>
    <n v="7"/>
    <m/>
    <s v="GEO1004"/>
    <x v="0"/>
    <s v="Q2 2020"/>
    <s v="Q2 2020"/>
  </r>
  <r>
    <x v="6"/>
    <x v="4"/>
    <n v="654"/>
    <n v="7"/>
    <m/>
    <s v="GEO1004"/>
    <x v="0"/>
    <s v="Q3 2020"/>
    <s v="Q3 2020"/>
  </r>
  <r>
    <x v="6"/>
    <x v="5"/>
    <n v="656"/>
    <n v="7"/>
    <m/>
    <s v="GEO1004"/>
    <x v="0"/>
    <s v="Q3 2020"/>
    <s v="Q3 2020"/>
  </r>
  <r>
    <x v="6"/>
    <x v="6"/>
    <n v="554"/>
    <n v="7"/>
    <m/>
    <s v="GEO1004"/>
    <x v="0"/>
    <s v="Q3 2020"/>
    <s v="Q3 2020"/>
  </r>
  <r>
    <x v="6"/>
    <x v="7"/>
    <n v="760"/>
    <n v="7"/>
    <m/>
    <s v="GEO1004"/>
    <x v="0"/>
    <s v="Q4 2020"/>
    <s v="Q4 2020"/>
  </r>
  <r>
    <x v="6"/>
    <x v="8"/>
    <n v="759"/>
    <n v="7"/>
    <m/>
    <s v="GEO1004"/>
    <x v="0"/>
    <s v="Q4 2020"/>
    <s v="Q4 2020"/>
  </r>
  <r>
    <x v="6"/>
    <x v="9"/>
    <n v="857"/>
    <n v="7"/>
    <m/>
    <s v="GEO1004"/>
    <x v="0"/>
    <s v="Q4 2020"/>
    <s v="Q4 2020"/>
  </r>
  <r>
    <x v="6"/>
    <x v="10"/>
    <n v="865"/>
    <n v="7"/>
    <m/>
    <s v="GEO1004"/>
    <x v="0"/>
    <s v="Q2 2021"/>
    <s v="Q2 2021"/>
  </r>
  <r>
    <x v="6"/>
    <x v="11"/>
    <n v="1078"/>
    <n v="7"/>
    <m/>
    <s v="GEO1004"/>
    <x v="0"/>
    <s v="Q2 2021"/>
    <s v="Q2 2021"/>
  </r>
  <r>
    <x v="6"/>
    <x v="12"/>
    <n v="1305"/>
    <n v="7"/>
    <m/>
    <s v="GEO1004"/>
    <x v="0"/>
    <s v="Q2 2021"/>
    <s v="Q2 2021"/>
  </r>
  <r>
    <x v="6"/>
    <x v="13"/>
    <n v="950"/>
    <n v="7"/>
    <m/>
    <s v="GEO1004"/>
    <x v="0"/>
    <s v="Q1 2021"/>
    <s v="Q1 2021"/>
  </r>
  <r>
    <x v="6"/>
    <x v="14"/>
    <n v="968"/>
    <n v="7"/>
    <m/>
    <s v="GEO1004"/>
    <x v="0"/>
    <s v="Q1 2021"/>
    <s v="Q1 2021"/>
  </r>
  <r>
    <x v="6"/>
    <x v="15"/>
    <n v="749"/>
    <n v="7"/>
    <m/>
    <s v="GEO1004"/>
    <x v="0"/>
    <s v="Q1 2021"/>
    <s v="Q1 2021"/>
  </r>
  <r>
    <x v="7"/>
    <x v="16"/>
    <n v="945"/>
    <n v="7"/>
    <m/>
    <s v="GEO1002"/>
    <x v="3"/>
    <s v="Q1 2020"/>
    <s v="Q1 2020"/>
  </r>
  <r>
    <x v="7"/>
    <x v="17"/>
    <n v="941"/>
    <n v="7"/>
    <m/>
    <s v="GEO1002"/>
    <x v="3"/>
    <s v="Q1 2020"/>
    <s v="Q1 2020"/>
  </r>
  <r>
    <x v="7"/>
    <x v="0"/>
    <n v="1164"/>
    <n v="7"/>
    <m/>
    <s v="GEO1002"/>
    <x v="3"/>
    <s v="Q1 2020"/>
    <s v="Q1 2020"/>
  </r>
  <r>
    <x v="7"/>
    <x v="1"/>
    <n v="1276"/>
    <n v="7"/>
    <m/>
    <s v="GEO1002"/>
    <x v="3"/>
    <s v="Q2 2020"/>
    <s v="Q2 2020"/>
  </r>
  <r>
    <x v="7"/>
    <x v="2"/>
    <n v="1275"/>
    <n v="7"/>
    <m/>
    <s v="GEO1002"/>
    <x v="3"/>
    <s v="Q2 2020"/>
    <s v="Q2 2020"/>
  </r>
  <r>
    <x v="7"/>
    <x v="3"/>
    <n v="834"/>
    <n v="7"/>
    <m/>
    <s v="GEO1002"/>
    <x v="3"/>
    <s v="Q2 2020"/>
    <s v="Q2 2020"/>
  </r>
  <r>
    <x v="7"/>
    <x v="4"/>
    <n v="833"/>
    <n v="7"/>
    <m/>
    <s v="GEO1002"/>
    <x v="3"/>
    <s v="Q3 2020"/>
    <s v="Q3 2020"/>
  </r>
  <r>
    <x v="7"/>
    <x v="5"/>
    <n v="610"/>
    <n v="7"/>
    <m/>
    <s v="GEO1002"/>
    <x v="3"/>
    <s v="Q3 2020"/>
    <s v="Q3 2020"/>
  </r>
  <r>
    <x v="7"/>
    <x v="6"/>
    <n v="722"/>
    <n v="7"/>
    <m/>
    <s v="GEO1002"/>
    <x v="3"/>
    <s v="Q3 2020"/>
    <s v="Q3 2020"/>
  </r>
  <r>
    <x v="7"/>
    <x v="7"/>
    <n v="722"/>
    <n v="7"/>
    <m/>
    <s v="GEO1002"/>
    <x v="3"/>
    <s v="Q4 2020"/>
    <s v="Q4 2020"/>
  </r>
  <r>
    <x v="7"/>
    <x v="8"/>
    <n v="939"/>
    <n v="7"/>
    <m/>
    <s v="GEO1002"/>
    <x v="3"/>
    <s v="Q4 2020"/>
    <s v="Q4 2020"/>
  </r>
  <r>
    <x v="7"/>
    <x v="9"/>
    <n v="829"/>
    <n v="7"/>
    <m/>
    <s v="GEO1002"/>
    <x v="3"/>
    <s v="Q4 2020"/>
    <s v="Q4 2020"/>
  </r>
  <r>
    <x v="7"/>
    <x v="10"/>
    <n v="848"/>
    <n v="7"/>
    <m/>
    <s v="GEO1002"/>
    <x v="3"/>
    <s v="Q2 2021"/>
    <s v="Q2 2021"/>
  </r>
  <r>
    <x v="7"/>
    <x v="11"/>
    <n v="1326"/>
    <n v="7"/>
    <m/>
    <s v="GEO1002"/>
    <x v="3"/>
    <s v="Q2 2021"/>
    <s v="Q2 2021"/>
  </r>
  <r>
    <x v="7"/>
    <x v="12"/>
    <n v="1309"/>
    <n v="7"/>
    <m/>
    <s v="GEO1002"/>
    <x v="3"/>
    <s v="Q2 2021"/>
    <s v="Q2 2021"/>
  </r>
  <r>
    <x v="7"/>
    <x v="13"/>
    <n v="1173"/>
    <n v="7"/>
    <m/>
    <s v="GEO1002"/>
    <x v="3"/>
    <s v="Q1 2021"/>
    <s v="Q1 2021"/>
  </r>
  <r>
    <x v="7"/>
    <x v="14"/>
    <n v="935"/>
    <n v="7"/>
    <m/>
    <s v="GEO1002"/>
    <x v="3"/>
    <s v="Q1 2021"/>
    <s v="Q1 2021"/>
  </r>
  <r>
    <x v="7"/>
    <x v="15"/>
    <n v="973"/>
    <n v="7"/>
    <m/>
    <s v="GEO1002"/>
    <x v="3"/>
    <s v="Q1 2021"/>
    <s v="Q1 2021"/>
  </r>
  <r>
    <x v="8"/>
    <x v="16"/>
    <n v="188"/>
    <n v="7"/>
    <m/>
    <s v="GEO1004"/>
    <x v="0"/>
    <s v="Q1 2020"/>
    <s v="Q1 2020"/>
  </r>
  <r>
    <x v="8"/>
    <x v="17"/>
    <n v="168"/>
    <n v="7"/>
    <m/>
    <s v="GEO1004"/>
    <x v="0"/>
    <s v="Q1 2020"/>
    <s v="Q1 2020"/>
  </r>
  <r>
    <x v="8"/>
    <x v="0"/>
    <n v="226"/>
    <n v="7"/>
    <m/>
    <s v="GEO1004"/>
    <x v="0"/>
    <s v="Q1 2020"/>
    <s v="Q1 2020"/>
  </r>
  <r>
    <x v="8"/>
    <x v="1"/>
    <n v="223"/>
    <n v="7"/>
    <m/>
    <s v="GEO1004"/>
    <x v="0"/>
    <s v="Q2 2020"/>
    <s v="Q2 2020"/>
  </r>
  <r>
    <x v="8"/>
    <x v="2"/>
    <n v="247"/>
    <n v="7"/>
    <m/>
    <s v="GEO1004"/>
    <x v="0"/>
    <s v="Q2 2020"/>
    <s v="Q2 2020"/>
  </r>
  <r>
    <x v="8"/>
    <x v="3"/>
    <n v="142"/>
    <n v="7"/>
    <m/>
    <s v="GEO1004"/>
    <x v="0"/>
    <s v="Q2 2020"/>
    <s v="Q2 2020"/>
  </r>
  <r>
    <x v="8"/>
    <x v="4"/>
    <n v="163"/>
    <n v="7"/>
    <m/>
    <s v="GEO1004"/>
    <x v="0"/>
    <s v="Q3 2020"/>
    <s v="Q3 2020"/>
  </r>
  <r>
    <x v="8"/>
    <x v="5"/>
    <n v="101"/>
    <n v="7"/>
    <m/>
    <s v="GEO1004"/>
    <x v="0"/>
    <s v="Q3 2020"/>
    <s v="Q3 2020"/>
  </r>
  <r>
    <x v="8"/>
    <x v="6"/>
    <n v="142"/>
    <n v="7"/>
    <m/>
    <s v="GEO1004"/>
    <x v="0"/>
    <s v="Q3 2020"/>
    <s v="Q3 2020"/>
  </r>
  <r>
    <x v="8"/>
    <x v="7"/>
    <n v="123"/>
    <n v="7"/>
    <m/>
    <s v="GEO1004"/>
    <x v="0"/>
    <s v="Q4 2020"/>
    <s v="Q4 2020"/>
  </r>
  <r>
    <x v="8"/>
    <x v="8"/>
    <n v="183"/>
    <n v="7"/>
    <m/>
    <s v="GEO1004"/>
    <x v="0"/>
    <s v="Q4 2020"/>
    <s v="Q4 2020"/>
  </r>
  <r>
    <x v="8"/>
    <x v="9"/>
    <n v="144"/>
    <n v="7"/>
    <m/>
    <s v="GEO1004"/>
    <x v="0"/>
    <s v="Q4 2020"/>
    <s v="Q4 2020"/>
  </r>
  <r>
    <x v="8"/>
    <x v="10"/>
    <n v="145"/>
    <n v="7"/>
    <m/>
    <s v="GEO1004"/>
    <x v="0"/>
    <s v="Q2 2021"/>
    <s v="Q2 2021"/>
  </r>
  <r>
    <x v="8"/>
    <x v="11"/>
    <n v="244"/>
    <n v="7"/>
    <m/>
    <s v="GEO1004"/>
    <x v="0"/>
    <s v="Q2 2021"/>
    <s v="Q2 2021"/>
  </r>
  <r>
    <x v="8"/>
    <x v="12"/>
    <n v="226"/>
    <n v="7"/>
    <m/>
    <s v="GEO1004"/>
    <x v="0"/>
    <s v="Q2 2021"/>
    <s v="Q2 2021"/>
  </r>
  <r>
    <x v="8"/>
    <x v="13"/>
    <n v="227"/>
    <n v="7"/>
    <m/>
    <s v="GEO1004"/>
    <x v="0"/>
    <s v="Q1 2021"/>
    <s v="Q1 2021"/>
  </r>
  <r>
    <x v="8"/>
    <x v="14"/>
    <n v="172"/>
    <n v="7"/>
    <m/>
    <s v="GEO1004"/>
    <x v="0"/>
    <s v="Q1 2021"/>
    <s v="Q1 2021"/>
  </r>
  <r>
    <x v="8"/>
    <x v="15"/>
    <n v="190"/>
    <n v="7"/>
    <m/>
    <s v="GEO1004"/>
    <x v="0"/>
    <s v="Q1 2021"/>
    <s v="Q1 2021"/>
  </r>
  <r>
    <x v="9"/>
    <x v="16"/>
    <n v="391"/>
    <n v="7"/>
    <m/>
    <s v="GEO1003"/>
    <x v="2"/>
    <s v="Q1 2020"/>
    <s v="Q1 2020"/>
  </r>
  <r>
    <x v="9"/>
    <x v="17"/>
    <n v="553"/>
    <n v="7"/>
    <m/>
    <s v="GEO1003"/>
    <x v="2"/>
    <s v="Q1 2020"/>
    <s v="Q1 2020"/>
  </r>
  <r>
    <x v="9"/>
    <x v="0"/>
    <n v="498"/>
    <n v="7"/>
    <m/>
    <s v="GEO1003"/>
    <x v="2"/>
    <s v="Q1 2020"/>
    <s v="Q1 2020"/>
  </r>
  <r>
    <x v="9"/>
    <x v="1"/>
    <n v="719"/>
    <n v="7"/>
    <m/>
    <s v="GEO1003"/>
    <x v="2"/>
    <s v="Q2 2020"/>
    <s v="Q2 2020"/>
  </r>
  <r>
    <x v="9"/>
    <x v="2"/>
    <n v="555"/>
    <n v="7"/>
    <m/>
    <s v="GEO1003"/>
    <x v="2"/>
    <s v="Q2 2020"/>
    <s v="Q2 2020"/>
  </r>
  <r>
    <x v="9"/>
    <x v="3"/>
    <n v="499"/>
    <n v="7"/>
    <m/>
    <s v="GEO1003"/>
    <x v="2"/>
    <s v="Q2 2020"/>
    <s v="Q2 2020"/>
  </r>
  <r>
    <x v="9"/>
    <x v="4"/>
    <n v="338"/>
    <n v="7"/>
    <m/>
    <s v="GEO1003"/>
    <x v="2"/>
    <s v="Q3 2020"/>
    <s v="Q3 2020"/>
  </r>
  <r>
    <x v="9"/>
    <x v="5"/>
    <n v="391"/>
    <n v="7"/>
    <m/>
    <s v="GEO1003"/>
    <x v="2"/>
    <s v="Q3 2020"/>
    <s v="Q3 2020"/>
  </r>
  <r>
    <x v="9"/>
    <x v="6"/>
    <n v="279"/>
    <n v="7"/>
    <m/>
    <s v="GEO1003"/>
    <x v="2"/>
    <s v="Q3 2020"/>
    <s v="Q3 2020"/>
  </r>
  <r>
    <x v="9"/>
    <x v="7"/>
    <n v="447"/>
    <n v="7"/>
    <m/>
    <s v="GEO1003"/>
    <x v="2"/>
    <s v="Q4 2020"/>
    <s v="Q4 2020"/>
  </r>
  <r>
    <x v="9"/>
    <x v="8"/>
    <n v="390"/>
    <n v="7"/>
    <m/>
    <s v="GEO1003"/>
    <x v="2"/>
    <s v="Q4 2020"/>
    <s v="Q4 2020"/>
  </r>
  <r>
    <x v="9"/>
    <x v="9"/>
    <n v="500"/>
    <n v="7"/>
    <m/>
    <s v="GEO1003"/>
    <x v="2"/>
    <s v="Q4 2020"/>
    <s v="Q4 2020"/>
  </r>
  <r>
    <x v="9"/>
    <x v="10"/>
    <n v="505"/>
    <n v="7"/>
    <m/>
    <s v="GEO1003"/>
    <x v="2"/>
    <s v="Q2 2021"/>
    <s v="Q2 2021"/>
  </r>
  <r>
    <x v="9"/>
    <x v="11"/>
    <n v="574"/>
    <n v="7"/>
    <m/>
    <s v="GEO1003"/>
    <x v="2"/>
    <s v="Q2 2021"/>
    <s v="Q2 2021"/>
  </r>
  <r>
    <x v="9"/>
    <x v="12"/>
    <n v="747"/>
    <n v="7"/>
    <m/>
    <s v="GEO1003"/>
    <x v="2"/>
    <s v="Q2 2021"/>
    <s v="Q2 2021"/>
  </r>
  <r>
    <x v="9"/>
    <x v="13"/>
    <n v="515"/>
    <n v="7"/>
    <m/>
    <s v="GEO1003"/>
    <x v="2"/>
    <s v="Q1 2021"/>
    <s v="Q1 2021"/>
  </r>
  <r>
    <x v="9"/>
    <x v="14"/>
    <n v="564"/>
    <n v="7"/>
    <m/>
    <s v="GEO1003"/>
    <x v="2"/>
    <s v="Q1 2021"/>
    <s v="Q1 2021"/>
  </r>
  <r>
    <x v="9"/>
    <x v="15"/>
    <n v="404"/>
    <n v="7"/>
    <m/>
    <s v="GEO1003"/>
    <x v="2"/>
    <s v="Q1 2021"/>
    <s v="Q1 2021"/>
  </r>
  <r>
    <x v="10"/>
    <x v="16"/>
    <n v="16996"/>
    <n v="7"/>
    <m/>
    <s v="GEO1001"/>
    <x v="1"/>
    <s v="Q1 2020"/>
    <s v="Q1 2020"/>
  </r>
  <r>
    <x v="10"/>
    <x v="17"/>
    <n v="19114"/>
    <n v="7"/>
    <m/>
    <s v="GEO1001"/>
    <x v="1"/>
    <s v="Q1 2020"/>
    <s v="Q1 2020"/>
  </r>
  <r>
    <x v="10"/>
    <x v="0"/>
    <n v="21243"/>
    <n v="7"/>
    <m/>
    <s v="GEO1001"/>
    <x v="1"/>
    <s v="Q1 2020"/>
    <s v="Q1 2020"/>
  </r>
  <r>
    <x v="10"/>
    <x v="1"/>
    <n v="25486"/>
    <n v="7"/>
    <m/>
    <s v="GEO1001"/>
    <x v="1"/>
    <s v="Q2 2020"/>
    <s v="Q2 2020"/>
  </r>
  <r>
    <x v="10"/>
    <x v="2"/>
    <n v="23366"/>
    <n v="7"/>
    <m/>
    <s v="GEO1001"/>
    <x v="1"/>
    <s v="Q2 2020"/>
    <s v="Q2 2020"/>
  </r>
  <r>
    <x v="10"/>
    <x v="3"/>
    <n v="16995"/>
    <n v="7"/>
    <m/>
    <s v="GEO1001"/>
    <x v="1"/>
    <s v="Q2 2020"/>
    <s v="Q2 2020"/>
  </r>
  <r>
    <x v="10"/>
    <x v="4"/>
    <n v="14870"/>
    <n v="7"/>
    <m/>
    <s v="GEO1001"/>
    <x v="1"/>
    <s v="Q3 2020"/>
    <s v="Q3 2020"/>
  </r>
  <r>
    <x v="10"/>
    <x v="5"/>
    <n v="12746"/>
    <n v="7"/>
    <m/>
    <s v="GEO1001"/>
    <x v="1"/>
    <s v="Q3 2020"/>
    <s v="Q3 2020"/>
  </r>
  <r>
    <x v="10"/>
    <x v="6"/>
    <n v="12748"/>
    <n v="7"/>
    <m/>
    <s v="GEO1001"/>
    <x v="1"/>
    <s v="Q3 2020"/>
    <s v="Q3 2020"/>
  </r>
  <r>
    <x v="10"/>
    <x v="7"/>
    <n v="14871"/>
    <n v="7"/>
    <m/>
    <s v="GEO1001"/>
    <x v="1"/>
    <s v="Q4 2020"/>
    <s v="Q4 2020"/>
  </r>
  <r>
    <x v="10"/>
    <x v="8"/>
    <n v="16997"/>
    <n v="7"/>
    <m/>
    <s v="GEO1001"/>
    <x v="1"/>
    <s v="Q4 2020"/>
    <s v="Q4 2020"/>
  </r>
  <r>
    <x v="10"/>
    <x v="9"/>
    <n v="16997"/>
    <n v="7"/>
    <m/>
    <s v="GEO1001"/>
    <x v="1"/>
    <s v="Q4 2020"/>
    <s v="Q4 2020"/>
  </r>
  <r>
    <x v="10"/>
    <x v="10"/>
    <n v="17844"/>
    <n v="7"/>
    <m/>
    <s v="GEO1001"/>
    <x v="1"/>
    <s v="Q2 2021"/>
    <s v="Q2 2021"/>
  </r>
  <r>
    <x v="10"/>
    <x v="11"/>
    <n v="23129"/>
    <n v="7"/>
    <m/>
    <s v="GEO1001"/>
    <x v="1"/>
    <s v="Q2 2021"/>
    <s v="Q2 2021"/>
  </r>
  <r>
    <x v="10"/>
    <x v="12"/>
    <n v="26253"/>
    <n v="7"/>
    <m/>
    <s v="GEO1001"/>
    <x v="1"/>
    <s v="Q2 2021"/>
    <s v="Q2 2021"/>
  </r>
  <r>
    <x v="10"/>
    <x v="13"/>
    <n v="21877"/>
    <n v="7"/>
    <m/>
    <s v="GEO1001"/>
    <x v="1"/>
    <s v="Q1 2021"/>
    <s v="Q1 2021"/>
  </r>
  <r>
    <x v="10"/>
    <x v="14"/>
    <n v="19020"/>
    <n v="7"/>
    <m/>
    <s v="GEO1001"/>
    <x v="1"/>
    <s v="Q1 2021"/>
    <s v="Q1 2021"/>
  </r>
  <r>
    <x v="10"/>
    <x v="15"/>
    <n v="17843"/>
    <n v="7"/>
    <m/>
    <s v="GEO1001"/>
    <x v="1"/>
    <s v="Q1 2021"/>
    <s v="Q1 2021"/>
  </r>
  <r>
    <x v="11"/>
    <x v="16"/>
    <n v="13879"/>
    <n v="7"/>
    <m/>
    <s v="GEO1001"/>
    <x v="1"/>
    <s v="Q1 2020"/>
    <s v="Q1 2020"/>
  </r>
  <r>
    <x v="11"/>
    <x v="17"/>
    <n v="19822"/>
    <n v="7"/>
    <m/>
    <s v="GEO1001"/>
    <x v="1"/>
    <s v="Q1 2020"/>
    <s v="Q1 2020"/>
  </r>
  <r>
    <x v="11"/>
    <x v="0"/>
    <n v="17842"/>
    <n v="7"/>
    <m/>
    <s v="GEO1001"/>
    <x v="1"/>
    <s v="Q1 2020"/>
    <s v="Q1 2020"/>
  </r>
  <r>
    <x v="11"/>
    <x v="1"/>
    <n v="25770"/>
    <n v="7"/>
    <m/>
    <s v="GEO1001"/>
    <x v="1"/>
    <s v="Q2 2020"/>
    <s v="Q2 2020"/>
  </r>
  <r>
    <x v="11"/>
    <x v="2"/>
    <n v="19823"/>
    <n v="7"/>
    <m/>
    <s v="GEO1001"/>
    <x v="1"/>
    <s v="Q2 2020"/>
    <s v="Q2 2020"/>
  </r>
  <r>
    <x v="11"/>
    <x v="3"/>
    <n v="17845"/>
    <n v="7"/>
    <m/>
    <s v="GEO1001"/>
    <x v="1"/>
    <s v="Q2 2020"/>
    <s v="Q2 2020"/>
  </r>
  <r>
    <x v="11"/>
    <x v="4"/>
    <n v="11899"/>
    <n v="7"/>
    <m/>
    <s v="GEO1001"/>
    <x v="1"/>
    <s v="Q3 2020"/>
    <s v="Q3 2020"/>
  </r>
  <r>
    <x v="11"/>
    <x v="5"/>
    <n v="13879"/>
    <n v="7"/>
    <m/>
    <s v="GEO1001"/>
    <x v="1"/>
    <s v="Q3 2020"/>
    <s v="Q3 2020"/>
  </r>
  <r>
    <x v="11"/>
    <x v="6"/>
    <n v="9913"/>
    <n v="7"/>
    <m/>
    <s v="GEO1001"/>
    <x v="1"/>
    <s v="Q3 2020"/>
    <s v="Q3 2020"/>
  </r>
  <r>
    <x v="11"/>
    <x v="7"/>
    <n v="15858"/>
    <n v="7"/>
    <m/>
    <s v="GEO1001"/>
    <x v="1"/>
    <s v="Q4 2020"/>
    <s v="Q4 2020"/>
  </r>
  <r>
    <x v="11"/>
    <x v="8"/>
    <n v="13882"/>
    <n v="7"/>
    <m/>
    <s v="GEO1001"/>
    <x v="1"/>
    <s v="Q4 2020"/>
    <s v="Q4 2020"/>
  </r>
  <r>
    <x v="11"/>
    <x v="9"/>
    <n v="17841"/>
    <n v="7"/>
    <m/>
    <s v="GEO1001"/>
    <x v="1"/>
    <s v="Q4 2020"/>
    <s v="Q4 2020"/>
  </r>
  <r>
    <x v="11"/>
    <x v="10"/>
    <n v="18554"/>
    <n v="7"/>
    <m/>
    <s v="GEO1001"/>
    <x v="1"/>
    <s v="Q2 2021"/>
    <s v="Q2 2021"/>
  </r>
  <r>
    <x v="11"/>
    <x v="11"/>
    <n v="20218"/>
    <n v="7"/>
    <m/>
    <s v="GEO1001"/>
    <x v="1"/>
    <s v="Q2 2021"/>
    <s v="Q2 2021"/>
  </r>
  <r>
    <x v="11"/>
    <x v="12"/>
    <n v="27062"/>
    <n v="7"/>
    <m/>
    <s v="GEO1001"/>
    <x v="1"/>
    <s v="Q2 2021"/>
    <s v="Q2 2021"/>
  </r>
  <r>
    <x v="11"/>
    <x v="13"/>
    <n v="18378"/>
    <n v="7"/>
    <m/>
    <s v="GEO1001"/>
    <x v="1"/>
    <s v="Q1 2021"/>
    <s v="Q1 2021"/>
  </r>
  <r>
    <x v="11"/>
    <x v="14"/>
    <n v="19729"/>
    <n v="7"/>
    <m/>
    <s v="GEO1001"/>
    <x v="1"/>
    <s v="Q1 2021"/>
    <s v="Q1 2021"/>
  </r>
  <r>
    <x v="11"/>
    <x v="15"/>
    <n v="14159"/>
    <n v="7"/>
    <m/>
    <s v="GEO1001"/>
    <x v="1"/>
    <s v="Q1 2021"/>
    <s v="Q1 2021"/>
  </r>
  <r>
    <x v="12"/>
    <x v="17"/>
    <n v="815"/>
    <n v="7"/>
    <m/>
    <s v="GEO1002"/>
    <x v="3"/>
    <s v="Q1 2020"/>
    <s v="Q1 2020"/>
  </r>
  <r>
    <x v="12"/>
    <x v="0"/>
    <n v="910"/>
    <n v="7"/>
    <m/>
    <s v="GEO1002"/>
    <x v="3"/>
    <s v="Q1 2020"/>
    <s v="Q1 2020"/>
  </r>
  <r>
    <x v="12"/>
    <x v="1"/>
    <n v="1091"/>
    <n v="7"/>
    <m/>
    <s v="GEO1002"/>
    <x v="3"/>
    <s v="Q2 2020"/>
    <s v="Q2 2020"/>
  </r>
  <r>
    <x v="12"/>
    <x v="2"/>
    <n v="995"/>
    <n v="7"/>
    <m/>
    <s v="GEO1002"/>
    <x v="3"/>
    <s v="Q2 2020"/>
    <s v="Q2 2020"/>
  </r>
  <r>
    <x v="12"/>
    <x v="3"/>
    <n v="727"/>
    <n v="7"/>
    <m/>
    <s v="GEO1002"/>
    <x v="3"/>
    <s v="Q2 2020"/>
    <s v="Q2 2020"/>
  </r>
  <r>
    <x v="12"/>
    <x v="4"/>
    <n v="635"/>
    <n v="7"/>
    <m/>
    <s v="GEO1002"/>
    <x v="3"/>
    <s v="Q3 2020"/>
    <s v="Q3 2020"/>
  </r>
  <r>
    <x v="12"/>
    <x v="5"/>
    <n v="544"/>
    <n v="7"/>
    <m/>
    <s v="GEO1002"/>
    <x v="3"/>
    <s v="Q3 2020"/>
    <s v="Q3 2020"/>
  </r>
  <r>
    <x v="12"/>
    <x v="6"/>
    <n v="545"/>
    <n v="7"/>
    <m/>
    <s v="GEO1002"/>
    <x v="3"/>
    <s v="Q3 2020"/>
    <s v="Q3 2020"/>
  </r>
  <r>
    <x v="12"/>
    <x v="7"/>
    <n v="637"/>
    <n v="7"/>
    <m/>
    <s v="GEO1002"/>
    <x v="3"/>
    <s v="Q4 2020"/>
    <s v="Q4 2020"/>
  </r>
  <r>
    <x v="12"/>
    <x v="8"/>
    <n v="723"/>
    <n v="7"/>
    <m/>
    <s v="GEO1002"/>
    <x v="3"/>
    <s v="Q4 2020"/>
    <s v="Q4 2020"/>
  </r>
  <r>
    <x v="12"/>
    <x v="9"/>
    <n v="727"/>
    <n v="7"/>
    <m/>
    <s v="GEO1002"/>
    <x v="3"/>
    <s v="Q4 2020"/>
    <s v="Q4 2020"/>
  </r>
  <r>
    <x v="12"/>
    <x v="10"/>
    <n v="722"/>
    <n v="7"/>
    <m/>
    <s v="GEO1002"/>
    <x v="3"/>
    <s v="Q2 2021"/>
    <s v="Q2 2021"/>
  </r>
  <r>
    <x v="12"/>
    <x v="11"/>
    <n v="1039"/>
    <n v="7"/>
    <m/>
    <s v="GEO1002"/>
    <x v="3"/>
    <s v="Q2 2021"/>
    <s v="Q2 2021"/>
  </r>
  <r>
    <x v="12"/>
    <x v="12"/>
    <n v="1124"/>
    <n v="7"/>
    <m/>
    <s v="GEO1002"/>
    <x v="3"/>
    <s v="Q2 2021"/>
    <s v="Q2 2021"/>
  </r>
  <r>
    <x v="12"/>
    <x v="13"/>
    <n v="895"/>
    <n v="7"/>
    <m/>
    <s v="GEO1002"/>
    <x v="3"/>
    <s v="Q1 2021"/>
    <s v="Q1 2021"/>
  </r>
  <r>
    <x v="12"/>
    <x v="14"/>
    <n v="851"/>
    <n v="7"/>
    <m/>
    <s v="GEO1002"/>
    <x v="3"/>
    <s v="Q1 2021"/>
    <s v="Q1 2021"/>
  </r>
  <r>
    <x v="12"/>
    <x v="15"/>
    <n v="741"/>
    <n v="7"/>
    <m/>
    <s v="GEO1002"/>
    <x v="3"/>
    <s v="Q1 2021"/>
    <s v="Q1 2021"/>
  </r>
  <r>
    <x v="13"/>
    <x v="16"/>
    <n v="1172"/>
    <n v="7"/>
    <m/>
    <s v="GEO1004"/>
    <x v="0"/>
    <s v="Q1 2020"/>
    <s v="Q1 2020"/>
  </r>
  <r>
    <x v="13"/>
    <x v="17"/>
    <n v="1483"/>
    <n v="7"/>
    <m/>
    <s v="GEO1004"/>
    <x v="0"/>
    <s v="Q1 2020"/>
    <s v="Q1 2020"/>
  </r>
  <r>
    <x v="13"/>
    <x v="0"/>
    <n v="1484"/>
    <n v="7"/>
    <m/>
    <s v="GEO1004"/>
    <x v="0"/>
    <s v="Q1 2020"/>
    <s v="Q1 2020"/>
  </r>
  <r>
    <x v="13"/>
    <x v="1"/>
    <n v="1949"/>
    <n v="7"/>
    <m/>
    <s v="GEO1004"/>
    <x v="0"/>
    <s v="Q2 2020"/>
    <s v="Q2 2020"/>
  </r>
  <r>
    <x v="13"/>
    <x v="2"/>
    <n v="1635"/>
    <n v="7"/>
    <m/>
    <s v="GEO1004"/>
    <x v="0"/>
    <s v="Q2 2020"/>
    <s v="Q2 2020"/>
  </r>
  <r>
    <x v="13"/>
    <x v="3"/>
    <n v="1326"/>
    <n v="7"/>
    <m/>
    <s v="GEO1004"/>
    <x v="0"/>
    <s v="Q2 2020"/>
    <s v="Q2 2020"/>
  </r>
  <r>
    <x v="13"/>
    <x v="4"/>
    <n v="1012"/>
    <n v="7"/>
    <m/>
    <s v="GEO1004"/>
    <x v="0"/>
    <s v="Q3 2020"/>
    <s v="Q3 2020"/>
  </r>
  <r>
    <x v="13"/>
    <x v="5"/>
    <n v="1018"/>
    <n v="7"/>
    <m/>
    <s v="GEO1004"/>
    <x v="0"/>
    <s v="Q3 2020"/>
    <s v="Q3 2020"/>
  </r>
  <r>
    <x v="13"/>
    <x v="6"/>
    <n v="861"/>
    <n v="7"/>
    <m/>
    <s v="GEO1004"/>
    <x v="0"/>
    <s v="Q3 2020"/>
    <s v="Q3 2020"/>
  </r>
  <r>
    <x v="13"/>
    <x v="7"/>
    <n v="1173"/>
    <n v="7"/>
    <m/>
    <s v="GEO1004"/>
    <x v="0"/>
    <s v="Q4 2020"/>
    <s v="Q4 2020"/>
  </r>
  <r>
    <x v="13"/>
    <x v="8"/>
    <n v="1169"/>
    <n v="7"/>
    <m/>
    <s v="GEO1004"/>
    <x v="0"/>
    <s v="Q4 2020"/>
    <s v="Q4 2020"/>
  </r>
  <r>
    <x v="13"/>
    <x v="9"/>
    <n v="1323"/>
    <n v="7"/>
    <m/>
    <s v="GEO1004"/>
    <x v="0"/>
    <s v="Q4 2020"/>
    <s v="Q4 2020"/>
  </r>
  <r>
    <x v="13"/>
    <x v="10"/>
    <n v="1318"/>
    <n v="7"/>
    <m/>
    <s v="GEO1004"/>
    <x v="0"/>
    <s v="Q2 2021"/>
    <s v="Q2 2021"/>
  </r>
  <r>
    <x v="13"/>
    <x v="11"/>
    <n v="1656"/>
    <n v="7"/>
    <m/>
    <s v="GEO1004"/>
    <x v="0"/>
    <s v="Q2 2021"/>
    <s v="Q2 2021"/>
  </r>
  <r>
    <x v="13"/>
    <x v="12"/>
    <n v="1987"/>
    <n v="7"/>
    <m/>
    <s v="GEO1004"/>
    <x v="0"/>
    <s v="Q2 2021"/>
    <s v="Q2 2021"/>
  </r>
  <r>
    <x v="13"/>
    <x v="13"/>
    <n v="1528"/>
    <n v="7"/>
    <m/>
    <s v="GEO1004"/>
    <x v="0"/>
    <s v="Q1 2021"/>
    <s v="Q1 2021"/>
  </r>
  <r>
    <x v="13"/>
    <x v="14"/>
    <n v="1557"/>
    <n v="7"/>
    <m/>
    <s v="GEO1004"/>
    <x v="0"/>
    <s v="Q1 2021"/>
    <s v="Q1 2021"/>
  </r>
  <r>
    <x v="13"/>
    <x v="15"/>
    <n v="1183"/>
    <n v="7"/>
    <m/>
    <s v="GEO1004"/>
    <x v="0"/>
    <s v="Q1 2021"/>
    <s v="Q1 2021"/>
  </r>
  <r>
    <x v="14"/>
    <x v="16"/>
    <n v="11332"/>
    <n v="7"/>
    <m/>
    <s v="GEO1001"/>
    <x v="1"/>
    <s v="Q1 2020"/>
    <s v="Q1 2020"/>
  </r>
  <r>
    <x v="14"/>
    <x v="17"/>
    <n v="12748"/>
    <n v="7"/>
    <m/>
    <s v="GEO1001"/>
    <x v="1"/>
    <s v="Q1 2020"/>
    <s v="Q1 2020"/>
  </r>
  <r>
    <x v="14"/>
    <x v="0"/>
    <n v="14162"/>
    <n v="7"/>
    <m/>
    <s v="GEO1001"/>
    <x v="1"/>
    <s v="Q1 2020"/>
    <s v="Q1 2020"/>
  </r>
  <r>
    <x v="14"/>
    <x v="1"/>
    <n v="16992"/>
    <n v="7"/>
    <m/>
    <s v="GEO1001"/>
    <x v="1"/>
    <s v="Q2 2020"/>
    <s v="Q2 2020"/>
  </r>
  <r>
    <x v="14"/>
    <x v="2"/>
    <n v="15578"/>
    <n v="7"/>
    <m/>
    <s v="GEO1001"/>
    <x v="1"/>
    <s v="Q2 2020"/>
    <s v="Q2 2020"/>
  </r>
  <r>
    <x v="14"/>
    <x v="3"/>
    <n v="11330"/>
    <n v="7"/>
    <m/>
    <s v="GEO1001"/>
    <x v="1"/>
    <s v="Q2 2020"/>
    <s v="Q2 2020"/>
  </r>
  <r>
    <x v="14"/>
    <x v="4"/>
    <n v="9912"/>
    <n v="7"/>
    <m/>
    <s v="GEO1001"/>
    <x v="1"/>
    <s v="Q3 2020"/>
    <s v="Q3 2020"/>
  </r>
  <r>
    <x v="14"/>
    <x v="5"/>
    <n v="8496"/>
    <n v="7"/>
    <m/>
    <s v="GEO1001"/>
    <x v="1"/>
    <s v="Q3 2020"/>
    <s v="Q3 2020"/>
  </r>
  <r>
    <x v="14"/>
    <x v="6"/>
    <n v="8502"/>
    <n v="7"/>
    <m/>
    <s v="GEO1001"/>
    <x v="1"/>
    <s v="Q3 2020"/>
    <s v="Q3 2020"/>
  </r>
  <r>
    <x v="14"/>
    <x v="7"/>
    <n v="9917"/>
    <n v="7"/>
    <m/>
    <s v="GEO1001"/>
    <x v="1"/>
    <s v="Q4 2020"/>
    <s v="Q4 2020"/>
  </r>
  <r>
    <x v="14"/>
    <x v="8"/>
    <n v="11330"/>
    <n v="7"/>
    <m/>
    <s v="GEO1001"/>
    <x v="1"/>
    <s v="Q4 2020"/>
    <s v="Q4 2020"/>
  </r>
  <r>
    <x v="14"/>
    <x v="9"/>
    <n v="11328"/>
    <n v="7"/>
    <m/>
    <s v="GEO1001"/>
    <x v="1"/>
    <s v="Q4 2020"/>
    <s v="Q4 2020"/>
  </r>
  <r>
    <x v="14"/>
    <x v="10"/>
    <n v="11781"/>
    <n v="7"/>
    <m/>
    <s v="GEO1001"/>
    <x v="1"/>
    <s v="Q2 2021"/>
    <s v="Q2 2021"/>
  </r>
  <r>
    <x v="14"/>
    <x v="11"/>
    <n v="15424"/>
    <n v="7"/>
    <m/>
    <s v="GEO1001"/>
    <x v="1"/>
    <s v="Q2 2021"/>
    <s v="Q2 2021"/>
  </r>
  <r>
    <x v="14"/>
    <x v="12"/>
    <n v="16906"/>
    <n v="7"/>
    <m/>
    <s v="GEO1001"/>
    <x v="1"/>
    <s v="Q2 2021"/>
    <s v="Q2 2021"/>
  </r>
  <r>
    <x v="14"/>
    <x v="13"/>
    <n v="14020"/>
    <n v="7"/>
    <m/>
    <s v="GEO1001"/>
    <x v="1"/>
    <s v="Q1 2021"/>
    <s v="Q1 2021"/>
  </r>
  <r>
    <x v="14"/>
    <x v="14"/>
    <n v="13386"/>
    <n v="7"/>
    <m/>
    <s v="GEO1001"/>
    <x v="1"/>
    <s v="Q1 2021"/>
    <s v="Q1 2021"/>
  </r>
  <r>
    <x v="14"/>
    <x v="15"/>
    <n v="11896"/>
    <n v="7"/>
    <m/>
    <s v="GEO1001"/>
    <x v="1"/>
    <s v="Q1 2021"/>
    <s v="Q1 2021"/>
  </r>
  <r>
    <x v="15"/>
    <x v="16"/>
    <n v="358"/>
    <n v="7"/>
    <m/>
    <s v="GEO1004"/>
    <x v="0"/>
    <s v="Q1 2020"/>
    <s v="Q1 2020"/>
  </r>
  <r>
    <x v="15"/>
    <x v="17"/>
    <n v="508"/>
    <n v="7"/>
    <m/>
    <s v="GEO1004"/>
    <x v="0"/>
    <s v="Q1 2020"/>
    <s v="Q1 2020"/>
  </r>
  <r>
    <x v="15"/>
    <x v="0"/>
    <n v="458"/>
    <n v="7"/>
    <m/>
    <s v="GEO1004"/>
    <x v="0"/>
    <s v="Q1 2020"/>
    <s v="Q1 2020"/>
  </r>
  <r>
    <x v="15"/>
    <x v="1"/>
    <n v="655"/>
    <n v="7"/>
    <m/>
    <s v="GEO1004"/>
    <x v="0"/>
    <s v="Q2 2020"/>
    <s v="Q2 2020"/>
  </r>
  <r>
    <x v="15"/>
    <x v="2"/>
    <n v="506"/>
    <n v="7"/>
    <m/>
    <s v="GEO1004"/>
    <x v="0"/>
    <s v="Q2 2020"/>
    <s v="Q2 2020"/>
  </r>
  <r>
    <x v="15"/>
    <x v="3"/>
    <n v="458"/>
    <n v="7"/>
    <m/>
    <s v="GEO1004"/>
    <x v="0"/>
    <s v="Q2 2020"/>
    <s v="Q2 2020"/>
  </r>
  <r>
    <x v="15"/>
    <x v="4"/>
    <n v="308"/>
    <n v="7"/>
    <m/>
    <s v="GEO1004"/>
    <x v="0"/>
    <s v="Q3 2020"/>
    <s v="Q3 2020"/>
  </r>
  <r>
    <x v="15"/>
    <x v="5"/>
    <n v="353"/>
    <n v="7"/>
    <m/>
    <s v="GEO1004"/>
    <x v="0"/>
    <s v="Q3 2020"/>
    <s v="Q3 2020"/>
  </r>
  <r>
    <x v="15"/>
    <x v="6"/>
    <n v="252"/>
    <n v="7"/>
    <m/>
    <s v="GEO1004"/>
    <x v="0"/>
    <s v="Q3 2020"/>
    <s v="Q3 2020"/>
  </r>
  <r>
    <x v="15"/>
    <x v="7"/>
    <n v="402"/>
    <n v="7"/>
    <m/>
    <s v="GEO1004"/>
    <x v="0"/>
    <s v="Q4 2020"/>
    <s v="Q4 2020"/>
  </r>
  <r>
    <x v="15"/>
    <x v="8"/>
    <n v="352"/>
    <n v="7"/>
    <m/>
    <s v="GEO1004"/>
    <x v="0"/>
    <s v="Q4 2020"/>
    <s v="Q4 2020"/>
  </r>
  <r>
    <x v="15"/>
    <x v="9"/>
    <n v="457"/>
    <n v="7"/>
    <m/>
    <s v="GEO1004"/>
    <x v="0"/>
    <s v="Q4 2020"/>
    <s v="Q4 2020"/>
  </r>
  <r>
    <x v="15"/>
    <x v="10"/>
    <n v="472"/>
    <n v="7"/>
    <m/>
    <s v="GEO1004"/>
    <x v="0"/>
    <s v="Q2 2021"/>
    <s v="Q2 2021"/>
  </r>
  <r>
    <x v="15"/>
    <x v="11"/>
    <n v="499"/>
    <n v="7"/>
    <m/>
    <s v="GEO1004"/>
    <x v="0"/>
    <s v="Q2 2021"/>
    <s v="Q2 2021"/>
  </r>
  <r>
    <x v="15"/>
    <x v="12"/>
    <n v="665"/>
    <n v="7"/>
    <m/>
    <s v="GEO1004"/>
    <x v="0"/>
    <s v="Q2 2021"/>
    <s v="Q2 2021"/>
  </r>
  <r>
    <x v="15"/>
    <x v="13"/>
    <n v="459"/>
    <n v="7"/>
    <m/>
    <s v="GEO1004"/>
    <x v="0"/>
    <s v="Q1 2021"/>
    <s v="Q1 2021"/>
  </r>
  <r>
    <x v="15"/>
    <x v="14"/>
    <n v="519"/>
    <n v="7"/>
    <m/>
    <s v="GEO1004"/>
    <x v="0"/>
    <s v="Q1 2021"/>
    <s v="Q1 2021"/>
  </r>
  <r>
    <x v="15"/>
    <x v="15"/>
    <n v="358"/>
    <n v="7"/>
    <m/>
    <s v="GEO1004"/>
    <x v="0"/>
    <s v="Q1 2021"/>
    <s v="Q1 2021"/>
  </r>
  <r>
    <x v="16"/>
    <x v="16"/>
    <n v="20394"/>
    <n v="7"/>
    <m/>
    <s v="GEO1001"/>
    <x v="1"/>
    <s v="Q1 2020"/>
    <s v="Q1 2020"/>
  </r>
  <r>
    <x v="16"/>
    <x v="17"/>
    <n v="22941"/>
    <n v="7"/>
    <m/>
    <s v="GEO1001"/>
    <x v="1"/>
    <s v="Q1 2020"/>
    <s v="Q1 2020"/>
  </r>
  <r>
    <x v="16"/>
    <x v="0"/>
    <n v="25487"/>
    <n v="7"/>
    <m/>
    <s v="GEO1001"/>
    <x v="1"/>
    <s v="Q1 2020"/>
    <s v="Q1 2020"/>
  </r>
  <r>
    <x v="16"/>
    <x v="1"/>
    <n v="30586"/>
    <n v="7"/>
    <m/>
    <s v="GEO1001"/>
    <x v="1"/>
    <s v="Q2 2020"/>
    <s v="Q2 2020"/>
  </r>
  <r>
    <x v="16"/>
    <x v="2"/>
    <n v="28040"/>
    <n v="7"/>
    <m/>
    <s v="GEO1001"/>
    <x v="1"/>
    <s v="Q2 2020"/>
    <s v="Q2 2020"/>
  </r>
  <r>
    <x v="16"/>
    <x v="3"/>
    <n v="20393"/>
    <n v="7"/>
    <m/>
    <s v="GEO1001"/>
    <x v="1"/>
    <s v="Q2 2020"/>
    <s v="Q2 2020"/>
  </r>
  <r>
    <x v="16"/>
    <x v="4"/>
    <n v="17841"/>
    <n v="7"/>
    <m/>
    <s v="GEO1001"/>
    <x v="1"/>
    <s v="Q3 2020"/>
    <s v="Q3 2020"/>
  </r>
  <r>
    <x v="16"/>
    <x v="5"/>
    <n v="15298"/>
    <n v="7"/>
    <m/>
    <s v="GEO1001"/>
    <x v="1"/>
    <s v="Q3 2020"/>
    <s v="Q3 2020"/>
  </r>
  <r>
    <x v="16"/>
    <x v="6"/>
    <n v="15295"/>
    <n v="7"/>
    <m/>
    <s v="GEO1001"/>
    <x v="1"/>
    <s v="Q3 2020"/>
    <s v="Q3 2020"/>
  </r>
  <r>
    <x v="16"/>
    <x v="7"/>
    <n v="17846"/>
    <n v="7"/>
    <m/>
    <s v="GEO1001"/>
    <x v="1"/>
    <s v="Q4 2020"/>
    <s v="Q4 2020"/>
  </r>
  <r>
    <x v="16"/>
    <x v="8"/>
    <n v="20388"/>
    <n v="7"/>
    <m/>
    <s v="GEO1001"/>
    <x v="1"/>
    <s v="Q4 2020"/>
    <s v="Q4 2020"/>
  </r>
  <r>
    <x v="16"/>
    <x v="9"/>
    <n v="20391"/>
    <n v="7"/>
    <m/>
    <s v="GEO1001"/>
    <x v="1"/>
    <s v="Q4 2020"/>
    <s v="Q4 2020"/>
  </r>
  <r>
    <x v="16"/>
    <x v="10"/>
    <n v="20289"/>
    <n v="7"/>
    <m/>
    <s v="GEO1001"/>
    <x v="1"/>
    <s v="Q2 2021"/>
    <s v="Q2 2021"/>
  </r>
  <r>
    <x v="16"/>
    <x v="11"/>
    <n v="29437"/>
    <n v="7"/>
    <m/>
    <s v="GEO1001"/>
    <x v="1"/>
    <s v="Q2 2021"/>
    <s v="Q2 2021"/>
  </r>
  <r>
    <x v="16"/>
    <x v="12"/>
    <n v="32113"/>
    <n v="7"/>
    <m/>
    <s v="GEO1001"/>
    <x v="1"/>
    <s v="Q2 2021"/>
    <s v="Q2 2021"/>
  </r>
  <r>
    <x v="16"/>
    <x v="13"/>
    <n v="26762"/>
    <n v="7"/>
    <m/>
    <s v="GEO1001"/>
    <x v="1"/>
    <s v="Q1 2021"/>
    <s v="Q1 2021"/>
  </r>
  <r>
    <x v="16"/>
    <x v="14"/>
    <n v="22713"/>
    <n v="7"/>
    <m/>
    <s v="GEO1001"/>
    <x v="1"/>
    <s v="Q1 2021"/>
    <s v="Q1 2021"/>
  </r>
  <r>
    <x v="16"/>
    <x v="15"/>
    <n v="20286"/>
    <n v="7"/>
    <m/>
    <s v="GEO1001"/>
    <x v="1"/>
    <s v="Q1 2021"/>
    <s v="Q1 2021"/>
  </r>
  <r>
    <x v="17"/>
    <x v="16"/>
    <n v="11682"/>
    <n v="7"/>
    <m/>
    <s v="GEO1004"/>
    <x v="0"/>
    <s v="Q1 2020"/>
    <s v="Q1 2020"/>
  </r>
  <r>
    <x v="17"/>
    <x v="17"/>
    <n v="14802"/>
    <n v="7"/>
    <m/>
    <s v="GEO1004"/>
    <x v="0"/>
    <s v="Q1 2020"/>
    <s v="Q1 2020"/>
  </r>
  <r>
    <x v="17"/>
    <x v="0"/>
    <n v="14798"/>
    <n v="7"/>
    <m/>
    <s v="GEO1004"/>
    <x v="0"/>
    <s v="Q1 2020"/>
    <s v="Q1 2020"/>
  </r>
  <r>
    <x v="17"/>
    <x v="1"/>
    <n v="19470"/>
    <n v="7"/>
    <m/>
    <s v="GEO1004"/>
    <x v="0"/>
    <s v="Q2 2020"/>
    <s v="Q2 2020"/>
  </r>
  <r>
    <x v="17"/>
    <x v="2"/>
    <n v="16356"/>
    <n v="7"/>
    <m/>
    <s v="GEO1004"/>
    <x v="0"/>
    <s v="Q2 2020"/>
    <s v="Q2 2020"/>
  </r>
  <r>
    <x v="17"/>
    <x v="3"/>
    <n v="13245"/>
    <n v="7"/>
    <m/>
    <s v="GEO1004"/>
    <x v="0"/>
    <s v="Q2 2020"/>
    <s v="Q2 2020"/>
  </r>
  <r>
    <x v="17"/>
    <x v="4"/>
    <n v="10130"/>
    <n v="7"/>
    <m/>
    <s v="GEO1004"/>
    <x v="0"/>
    <s v="Q3 2020"/>
    <s v="Q3 2020"/>
  </r>
  <r>
    <x v="17"/>
    <x v="5"/>
    <n v="10124"/>
    <n v="7"/>
    <m/>
    <s v="GEO1004"/>
    <x v="0"/>
    <s v="Q3 2020"/>
    <s v="Q3 2020"/>
  </r>
  <r>
    <x v="17"/>
    <x v="6"/>
    <n v="8573"/>
    <n v="7"/>
    <m/>
    <s v="GEO1004"/>
    <x v="0"/>
    <s v="Q3 2020"/>
    <s v="Q3 2020"/>
  </r>
  <r>
    <x v="17"/>
    <x v="7"/>
    <n v="11682"/>
    <n v="7"/>
    <m/>
    <s v="GEO1004"/>
    <x v="0"/>
    <s v="Q4 2020"/>
    <s v="Q4 2020"/>
  </r>
  <r>
    <x v="17"/>
    <x v="8"/>
    <n v="11686"/>
    <n v="7"/>
    <m/>
    <s v="GEO1004"/>
    <x v="0"/>
    <s v="Q4 2020"/>
    <s v="Q4 2020"/>
  </r>
  <r>
    <x v="17"/>
    <x v="9"/>
    <n v="13239"/>
    <n v="7"/>
    <m/>
    <s v="GEO1004"/>
    <x v="0"/>
    <s v="Q4 2020"/>
    <s v="Q4 2020"/>
  </r>
  <r>
    <x v="17"/>
    <x v="10"/>
    <n v="13905"/>
    <n v="7"/>
    <m/>
    <s v="GEO1004"/>
    <x v="0"/>
    <s v="Q2 2021"/>
    <s v="Q2 2021"/>
  </r>
  <r>
    <x v="17"/>
    <x v="11"/>
    <n v="16273"/>
    <n v="7"/>
    <m/>
    <s v="GEO1004"/>
    <x v="0"/>
    <s v="Q2 2021"/>
    <s v="Q2 2021"/>
  </r>
  <r>
    <x v="17"/>
    <x v="12"/>
    <n v="20251"/>
    <n v="7"/>
    <m/>
    <s v="GEO1004"/>
    <x v="0"/>
    <s v="Q2 2021"/>
    <s v="Q2 2021"/>
  </r>
  <r>
    <x v="17"/>
    <x v="13"/>
    <n v="15092"/>
    <n v="7"/>
    <m/>
    <s v="GEO1004"/>
    <x v="0"/>
    <s v="Q1 2021"/>
    <s v="Q1 2021"/>
  </r>
  <r>
    <x v="17"/>
    <x v="14"/>
    <n v="15094"/>
    <n v="7"/>
    <m/>
    <s v="GEO1004"/>
    <x v="0"/>
    <s v="Q1 2021"/>
    <s v="Q1 2021"/>
  </r>
  <r>
    <x v="17"/>
    <x v="15"/>
    <n v="11799"/>
    <n v="7"/>
    <m/>
    <s v="GEO1004"/>
    <x v="0"/>
    <s v="Q1 2021"/>
    <s v="Q1 2021"/>
  </r>
  <r>
    <x v="18"/>
    <x v="4"/>
    <n v="326"/>
    <n v="7"/>
    <m/>
    <s v="GEO1002"/>
    <x v="3"/>
    <s v="Q3 2020"/>
    <s v="Q3 2020"/>
  </r>
  <r>
    <x v="18"/>
    <x v="5"/>
    <n v="202"/>
    <n v="7"/>
    <m/>
    <s v="GEO1002"/>
    <x v="3"/>
    <s v="Q3 2020"/>
    <s v="Q3 2020"/>
  </r>
  <r>
    <x v="18"/>
    <x v="6"/>
    <n v="283"/>
    <n v="7"/>
    <m/>
    <s v="GEO1002"/>
    <x v="3"/>
    <s v="Q3 2020"/>
    <s v="Q3 2020"/>
  </r>
  <r>
    <x v="18"/>
    <x v="7"/>
    <n v="243"/>
    <n v="7"/>
    <m/>
    <s v="GEO1002"/>
    <x v="3"/>
    <s v="Q4 2020"/>
    <s v="Q4 2020"/>
  </r>
  <r>
    <x v="18"/>
    <x v="8"/>
    <n v="368"/>
    <n v="7"/>
    <m/>
    <s v="GEO1002"/>
    <x v="3"/>
    <s v="Q4 2020"/>
    <s v="Q4 2020"/>
  </r>
  <r>
    <x v="18"/>
    <x v="9"/>
    <n v="285"/>
    <n v="7"/>
    <m/>
    <s v="GEO1002"/>
    <x v="3"/>
    <s v="Q4 2020"/>
    <s v="Q4 2020"/>
  </r>
  <r>
    <x v="18"/>
    <x v="10"/>
    <n v="292"/>
    <n v="7"/>
    <m/>
    <s v="GEO1002"/>
    <x v="3"/>
    <s v="Q2 2021"/>
    <s v="Q2 2021"/>
  </r>
  <r>
    <x v="18"/>
    <x v="11"/>
    <n v="495"/>
    <n v="7"/>
    <m/>
    <s v="GEO1002"/>
    <x v="3"/>
    <s v="Q2 2021"/>
    <s v="Q2 2021"/>
  </r>
  <r>
    <x v="18"/>
    <x v="12"/>
    <n v="467"/>
    <n v="7"/>
    <m/>
    <s v="GEO1002"/>
    <x v="3"/>
    <s v="Q2 2021"/>
    <s v="Q2 2021"/>
  </r>
  <r>
    <x v="18"/>
    <x v="13"/>
    <n v="451"/>
    <n v="7"/>
    <m/>
    <s v="GEO1002"/>
    <x v="3"/>
    <s v="Q1 2021"/>
    <s v="Q1 2021"/>
  </r>
  <r>
    <x v="18"/>
    <x v="14"/>
    <n v="320"/>
    <n v="7"/>
    <m/>
    <s v="GEO1002"/>
    <x v="3"/>
    <s v="Q1 2021"/>
    <s v="Q1 2021"/>
  </r>
  <r>
    <x v="18"/>
    <x v="15"/>
    <n v="361"/>
    <n v="7"/>
    <m/>
    <s v="GEO1002"/>
    <x v="3"/>
    <s v="Q1 2021"/>
    <s v="Q1 2021"/>
  </r>
  <r>
    <x v="19"/>
    <x v="16"/>
    <n v="2691"/>
    <n v="7"/>
    <m/>
    <s v="GEO1001"/>
    <x v="1"/>
    <s v="Q1 2020"/>
    <s v="Q1 2020"/>
  </r>
  <r>
    <x v="19"/>
    <x v="17"/>
    <n v="2129"/>
    <n v="7"/>
    <m/>
    <s v="GEO1001"/>
    <x v="1"/>
    <s v="Q1 2020"/>
    <s v="Q1 2020"/>
  </r>
  <r>
    <x v="19"/>
    <x v="0"/>
    <n v="3258"/>
    <n v="7"/>
    <m/>
    <s v="GEO1001"/>
    <x v="1"/>
    <s v="Q1 2020"/>
    <s v="Q1 2020"/>
  </r>
  <r>
    <x v="19"/>
    <x v="1"/>
    <n v="2978"/>
    <n v="7"/>
    <m/>
    <s v="GEO1001"/>
    <x v="1"/>
    <s v="Q2 2020"/>
    <s v="Q2 2020"/>
  </r>
  <r>
    <x v="19"/>
    <x v="2"/>
    <n v="3544"/>
    <n v="7"/>
    <m/>
    <s v="GEO1001"/>
    <x v="1"/>
    <s v="Q2 2020"/>
    <s v="Q2 2020"/>
  </r>
  <r>
    <x v="19"/>
    <x v="3"/>
    <n v="1845"/>
    <n v="7"/>
    <m/>
    <s v="GEO1001"/>
    <x v="1"/>
    <s v="Q2 2020"/>
    <s v="Q2 2020"/>
  </r>
  <r>
    <x v="19"/>
    <x v="4"/>
    <n v="2414"/>
    <n v="7"/>
    <m/>
    <s v="GEO1001"/>
    <x v="1"/>
    <s v="Q3 2020"/>
    <s v="Q3 2020"/>
  </r>
  <r>
    <x v="19"/>
    <x v="5"/>
    <n v="1281"/>
    <n v="7"/>
    <m/>
    <s v="GEO1001"/>
    <x v="1"/>
    <s v="Q3 2020"/>
    <s v="Q3 2020"/>
  </r>
  <r>
    <x v="19"/>
    <x v="6"/>
    <n v="2131"/>
    <n v="7"/>
    <m/>
    <s v="GEO1001"/>
    <x v="1"/>
    <s v="Q3 2020"/>
    <s v="Q3 2020"/>
  </r>
  <r>
    <x v="19"/>
    <x v="7"/>
    <n v="1560"/>
    <n v="7"/>
    <m/>
    <s v="GEO1001"/>
    <x v="1"/>
    <s v="Q4 2020"/>
    <s v="Q4 2020"/>
  </r>
  <r>
    <x v="19"/>
    <x v="8"/>
    <n v="2691"/>
    <n v="7"/>
    <m/>
    <s v="GEO1001"/>
    <x v="1"/>
    <s v="Q4 2020"/>
    <s v="Q4 2020"/>
  </r>
  <r>
    <x v="19"/>
    <x v="9"/>
    <n v="1843"/>
    <n v="7"/>
    <m/>
    <s v="GEO1001"/>
    <x v="1"/>
    <s v="Q4 2020"/>
    <s v="Q4 2020"/>
  </r>
  <r>
    <x v="19"/>
    <x v="10"/>
    <n v="1864"/>
    <n v="7"/>
    <m/>
    <s v="GEO1001"/>
    <x v="1"/>
    <s v="Q2 2021"/>
    <s v="Q2 2021"/>
  </r>
  <r>
    <x v="19"/>
    <x v="11"/>
    <n v="3527"/>
    <n v="7"/>
    <m/>
    <s v="GEO1001"/>
    <x v="1"/>
    <s v="Q2 2021"/>
    <s v="Q2 2021"/>
  </r>
  <r>
    <x v="19"/>
    <x v="12"/>
    <n v="3010"/>
    <n v="7"/>
    <m/>
    <s v="GEO1001"/>
    <x v="1"/>
    <s v="Q2 2021"/>
    <s v="Q2 2021"/>
  </r>
  <r>
    <x v="19"/>
    <x v="13"/>
    <n v="3387"/>
    <n v="7"/>
    <m/>
    <s v="GEO1001"/>
    <x v="1"/>
    <s v="Q1 2021"/>
    <s v="Q1 2021"/>
  </r>
  <r>
    <x v="19"/>
    <x v="14"/>
    <n v="2190"/>
    <n v="7"/>
    <m/>
    <s v="GEO1001"/>
    <x v="1"/>
    <s v="Q1 2021"/>
    <s v="Q1 2021"/>
  </r>
  <r>
    <x v="19"/>
    <x v="15"/>
    <n v="2719"/>
    <n v="7"/>
    <m/>
    <s v="GEO1001"/>
    <x v="1"/>
    <s v="Q1 2021"/>
    <s v="Q1 2021"/>
  </r>
  <r>
    <x v="20"/>
    <x v="16"/>
    <n v="484"/>
    <n v="7"/>
    <m/>
    <s v="GEO1004"/>
    <x v="0"/>
    <s v="Q1 2020"/>
    <s v="Q1 2020"/>
  </r>
  <r>
    <x v="20"/>
    <x v="17"/>
    <n v="546"/>
    <n v="7"/>
    <m/>
    <s v="GEO1004"/>
    <x v="0"/>
    <s v="Q1 2020"/>
    <s v="Q1 2020"/>
  </r>
  <r>
    <x v="20"/>
    <x v="0"/>
    <n v="609"/>
    <n v="7"/>
    <m/>
    <s v="GEO1004"/>
    <x v="0"/>
    <s v="Q1 2020"/>
    <s v="Q1 2020"/>
  </r>
  <r>
    <x v="20"/>
    <x v="1"/>
    <n v="727"/>
    <n v="7"/>
    <m/>
    <s v="GEO1004"/>
    <x v="0"/>
    <s v="Q2 2020"/>
    <s v="Q2 2020"/>
  </r>
  <r>
    <x v="20"/>
    <x v="2"/>
    <n v="663"/>
    <n v="7"/>
    <m/>
    <s v="GEO1004"/>
    <x v="0"/>
    <s v="Q2 2020"/>
    <s v="Q2 2020"/>
  </r>
  <r>
    <x v="20"/>
    <x v="3"/>
    <n v="489"/>
    <n v="7"/>
    <m/>
    <s v="GEO1004"/>
    <x v="0"/>
    <s v="Q2 2020"/>
    <s v="Q2 2020"/>
  </r>
  <r>
    <x v="20"/>
    <x v="4"/>
    <n v="422"/>
    <n v="7"/>
    <m/>
    <s v="GEO1004"/>
    <x v="0"/>
    <s v="Q3 2020"/>
    <s v="Q3 2020"/>
  </r>
  <r>
    <x v="20"/>
    <x v="5"/>
    <n v="366"/>
    <n v="7"/>
    <m/>
    <s v="GEO1004"/>
    <x v="0"/>
    <s v="Q3 2020"/>
    <s v="Q3 2020"/>
  </r>
  <r>
    <x v="20"/>
    <x v="6"/>
    <n v="365"/>
    <n v="7"/>
    <m/>
    <s v="GEO1004"/>
    <x v="0"/>
    <s v="Q3 2020"/>
    <s v="Q3 2020"/>
  </r>
  <r>
    <x v="20"/>
    <x v="7"/>
    <n v="428"/>
    <n v="7"/>
    <m/>
    <s v="GEO1004"/>
    <x v="0"/>
    <s v="Q4 2020"/>
    <s v="Q4 2020"/>
  </r>
  <r>
    <x v="20"/>
    <x v="8"/>
    <n v="486"/>
    <n v="7"/>
    <m/>
    <s v="GEO1004"/>
    <x v="0"/>
    <s v="Q4 2020"/>
    <s v="Q4 2020"/>
  </r>
  <r>
    <x v="20"/>
    <x v="9"/>
    <n v="488"/>
    <n v="7"/>
    <m/>
    <s v="GEO1004"/>
    <x v="0"/>
    <s v="Q4 2020"/>
    <s v="Q4 2020"/>
  </r>
  <r>
    <x v="20"/>
    <x v="15"/>
    <n v="483"/>
    <n v="7"/>
    <m/>
    <s v="GEO1004"/>
    <x v="0"/>
    <s v="Q1 2021"/>
    <s v="Q1 2021"/>
  </r>
  <r>
    <x v="21"/>
    <x v="16"/>
    <n v="13597"/>
    <n v="7"/>
    <m/>
    <s v="GEO1002"/>
    <x v="3"/>
    <s v="Q1 2020"/>
    <s v="Q1 2020"/>
  </r>
  <r>
    <x v="21"/>
    <x v="17"/>
    <n v="15298"/>
    <n v="7"/>
    <m/>
    <s v="GEO1002"/>
    <x v="3"/>
    <s v="Q1 2020"/>
    <s v="Q1 2020"/>
  </r>
  <r>
    <x v="21"/>
    <x v="0"/>
    <n v="16992"/>
    <n v="7"/>
    <m/>
    <s v="GEO1002"/>
    <x v="3"/>
    <s v="Q1 2020"/>
    <s v="Q1 2020"/>
  </r>
  <r>
    <x v="21"/>
    <x v="1"/>
    <n v="20394"/>
    <n v="7"/>
    <m/>
    <s v="GEO1002"/>
    <x v="3"/>
    <s v="Q2 2020"/>
    <s v="Q2 2020"/>
  </r>
  <r>
    <x v="21"/>
    <x v="2"/>
    <n v="18695"/>
    <n v="7"/>
    <m/>
    <s v="GEO1002"/>
    <x v="3"/>
    <s v="Q2 2020"/>
    <s v="Q2 2020"/>
  </r>
  <r>
    <x v="21"/>
    <x v="3"/>
    <n v="13597"/>
    <n v="7"/>
    <m/>
    <s v="GEO1002"/>
    <x v="3"/>
    <s v="Q2 2020"/>
    <s v="Q2 2020"/>
  </r>
  <r>
    <x v="21"/>
    <x v="4"/>
    <n v="11899"/>
    <n v="7"/>
    <m/>
    <s v="GEO1002"/>
    <x v="3"/>
    <s v="Q3 2020"/>
    <s v="Q3 2020"/>
  </r>
  <r>
    <x v="21"/>
    <x v="5"/>
    <n v="10197"/>
    <n v="7"/>
    <m/>
    <s v="GEO1002"/>
    <x v="3"/>
    <s v="Q3 2020"/>
    <s v="Q3 2020"/>
  </r>
  <r>
    <x v="21"/>
    <x v="6"/>
    <n v="10196"/>
    <n v="7"/>
    <m/>
    <s v="GEO1002"/>
    <x v="3"/>
    <s v="Q3 2020"/>
    <s v="Q3 2020"/>
  </r>
  <r>
    <x v="21"/>
    <x v="7"/>
    <n v="11895"/>
    <n v="7"/>
    <m/>
    <s v="GEO1002"/>
    <x v="3"/>
    <s v="Q4 2020"/>
    <s v="Q4 2020"/>
  </r>
  <r>
    <x v="21"/>
    <x v="8"/>
    <n v="13596"/>
    <n v="7"/>
    <m/>
    <s v="GEO1002"/>
    <x v="3"/>
    <s v="Q4 2020"/>
    <s v="Q4 2020"/>
  </r>
  <r>
    <x v="21"/>
    <x v="9"/>
    <n v="13595"/>
    <n v="7"/>
    <m/>
    <s v="GEO1002"/>
    <x v="3"/>
    <s v="Q4 2020"/>
    <s v="Q4 2020"/>
  </r>
  <r>
    <x v="21"/>
    <x v="10"/>
    <n v="13732"/>
    <n v="7"/>
    <m/>
    <s v="GEO1002"/>
    <x v="3"/>
    <s v="Q2 2021"/>
    <s v="Q2 2021"/>
  </r>
  <r>
    <x v="21"/>
    <x v="11"/>
    <n v="19253"/>
    <n v="7"/>
    <m/>
    <s v="GEO1002"/>
    <x v="3"/>
    <s v="Q2 2021"/>
    <s v="Q2 2021"/>
  </r>
  <r>
    <x v="21"/>
    <x v="12"/>
    <n v="20185"/>
    <n v="7"/>
    <m/>
    <s v="GEO1002"/>
    <x v="3"/>
    <s v="Q2 2021"/>
    <s v="Q2 2021"/>
  </r>
  <r>
    <x v="21"/>
    <x v="13"/>
    <n v="17502"/>
    <n v="7"/>
    <m/>
    <s v="GEO1002"/>
    <x v="3"/>
    <s v="Q1 2021"/>
    <s v="Q1 2021"/>
  </r>
  <r>
    <x v="21"/>
    <x v="14"/>
    <n v="16057"/>
    <n v="7"/>
    <m/>
    <s v="GEO1002"/>
    <x v="3"/>
    <s v="Q1 2021"/>
    <s v="Q1 2021"/>
  </r>
  <r>
    <x v="21"/>
    <x v="15"/>
    <n v="14276"/>
    <n v="7"/>
    <m/>
    <s v="GEO1002"/>
    <x v="3"/>
    <s v="Q1 2021"/>
    <s v="Q1 2021"/>
  </r>
  <r>
    <x v="22"/>
    <x v="16"/>
    <n v="864"/>
    <n v="7"/>
    <m/>
    <s v="GEO1001"/>
    <x v="1"/>
    <s v="Q1 2020"/>
    <s v="Q1 2020"/>
  </r>
  <r>
    <x v="22"/>
    <x v="17"/>
    <n v="765"/>
    <n v="7"/>
    <m/>
    <s v="GEO1001"/>
    <x v="1"/>
    <s v="Q1 2020"/>
    <s v="Q1 2020"/>
  </r>
  <r>
    <x v="22"/>
    <x v="0"/>
    <n v="1051"/>
    <n v="7"/>
    <m/>
    <s v="GEO1001"/>
    <x v="1"/>
    <s v="Q1 2020"/>
    <s v="Q1 2020"/>
  </r>
  <r>
    <x v="22"/>
    <x v="1"/>
    <n v="1053"/>
    <n v="7"/>
    <m/>
    <s v="GEO1001"/>
    <x v="1"/>
    <s v="Q2 2020"/>
    <s v="Q2 2020"/>
  </r>
  <r>
    <x v="22"/>
    <x v="2"/>
    <n v="1146"/>
    <n v="7"/>
    <m/>
    <s v="GEO1001"/>
    <x v="1"/>
    <s v="Q2 2020"/>
    <s v="Q2 2020"/>
  </r>
  <r>
    <x v="22"/>
    <x v="3"/>
    <n v="674"/>
    <n v="7"/>
    <m/>
    <s v="GEO1001"/>
    <x v="1"/>
    <s v="Q2 2020"/>
    <s v="Q2 2020"/>
  </r>
  <r>
    <x v="22"/>
    <x v="4"/>
    <n v="764"/>
    <n v="7"/>
    <m/>
    <s v="GEO1001"/>
    <x v="1"/>
    <s v="Q3 2020"/>
    <s v="Q3 2020"/>
  </r>
  <r>
    <x v="22"/>
    <x v="5"/>
    <n v="482"/>
    <n v="7"/>
    <m/>
    <s v="GEO1001"/>
    <x v="1"/>
    <s v="Q3 2020"/>
    <s v="Q3 2020"/>
  </r>
  <r>
    <x v="22"/>
    <x v="6"/>
    <n v="673"/>
    <n v="7"/>
    <m/>
    <s v="GEO1001"/>
    <x v="1"/>
    <s v="Q3 2020"/>
    <s v="Q3 2020"/>
  </r>
  <r>
    <x v="22"/>
    <x v="7"/>
    <n v="575"/>
    <n v="7"/>
    <m/>
    <s v="GEO1001"/>
    <x v="1"/>
    <s v="Q4 2020"/>
    <s v="Q4 2020"/>
  </r>
  <r>
    <x v="22"/>
    <x v="8"/>
    <n v="865"/>
    <n v="7"/>
    <m/>
    <s v="GEO1001"/>
    <x v="1"/>
    <s v="Q4 2020"/>
    <s v="Q4 2020"/>
  </r>
  <r>
    <x v="22"/>
    <x v="9"/>
    <n v="674"/>
    <n v="7"/>
    <m/>
    <s v="GEO1001"/>
    <x v="1"/>
    <s v="Q4 2020"/>
    <s v="Q4 2020"/>
  </r>
  <r>
    <x v="22"/>
    <x v="10"/>
    <n v="681"/>
    <n v="7"/>
    <m/>
    <s v="GEO1001"/>
    <x v="1"/>
    <s v="Q2 2021"/>
    <s v="Q2 2021"/>
  </r>
  <r>
    <x v="22"/>
    <x v="11"/>
    <n v="1136"/>
    <n v="7"/>
    <m/>
    <s v="GEO1001"/>
    <x v="1"/>
    <s v="Q2 2021"/>
    <s v="Q2 2021"/>
  </r>
  <r>
    <x v="22"/>
    <x v="12"/>
    <n v="1095"/>
    <n v="7"/>
    <m/>
    <s v="GEO1001"/>
    <x v="1"/>
    <s v="Q2 2021"/>
    <s v="Q2 2021"/>
  </r>
  <r>
    <x v="22"/>
    <x v="13"/>
    <n v="1043"/>
    <n v="7"/>
    <m/>
    <s v="GEO1001"/>
    <x v="1"/>
    <s v="Q1 2021"/>
    <s v="Q1 2021"/>
  </r>
  <r>
    <x v="22"/>
    <x v="14"/>
    <n v="797"/>
    <n v="7"/>
    <m/>
    <s v="GEO1001"/>
    <x v="1"/>
    <s v="Q1 2021"/>
    <s v="Q1 2021"/>
  </r>
  <r>
    <x v="22"/>
    <x v="15"/>
    <n v="859"/>
    <n v="7"/>
    <m/>
    <s v="GEO1001"/>
    <x v="1"/>
    <s v="Q1 2021"/>
    <s v="Q1 2021"/>
  </r>
  <r>
    <x v="23"/>
    <x v="8"/>
    <n v="916"/>
    <n v="7"/>
    <m/>
    <s v="GEO1001"/>
    <x v="1"/>
    <s v="Q4 2020"/>
    <s v="Q4 2020"/>
  </r>
  <r>
    <x v="23"/>
    <x v="9"/>
    <n v="1176"/>
    <n v="7"/>
    <m/>
    <s v="GEO1001"/>
    <x v="1"/>
    <s v="Q4 2020"/>
    <s v="Q4 2020"/>
  </r>
  <r>
    <x v="23"/>
    <x v="10"/>
    <n v="1193"/>
    <n v="7"/>
    <m/>
    <s v="GEO1001"/>
    <x v="1"/>
    <s v="Q2 2021"/>
    <s v="Q2 2021"/>
  </r>
  <r>
    <x v="23"/>
    <x v="11"/>
    <n v="1360"/>
    <n v="7"/>
    <m/>
    <s v="GEO1001"/>
    <x v="1"/>
    <s v="Q2 2021"/>
    <s v="Q2 2021"/>
  </r>
  <r>
    <x v="23"/>
    <x v="12"/>
    <n v="1768"/>
    <n v="7"/>
    <m/>
    <s v="GEO1001"/>
    <x v="1"/>
    <s v="Q2 2021"/>
    <s v="Q2 2021"/>
  </r>
  <r>
    <x v="23"/>
    <x v="13"/>
    <n v="1192"/>
    <n v="7"/>
    <m/>
    <s v="GEO1001"/>
    <x v="1"/>
    <s v="Q1 2021"/>
    <s v="Q1 2021"/>
  </r>
  <r>
    <x v="23"/>
    <x v="14"/>
    <n v="1332"/>
    <n v="7"/>
    <m/>
    <s v="GEO1001"/>
    <x v="1"/>
    <s v="Q1 2021"/>
    <s v="Q1 2021"/>
  </r>
  <r>
    <x v="23"/>
    <x v="15"/>
    <n v="941"/>
    <n v="7"/>
    <m/>
    <s v="GEO1001"/>
    <x v="1"/>
    <s v="Q1 2021"/>
    <s v="Q1 2021"/>
  </r>
  <r>
    <x v="24"/>
    <x v="16"/>
    <n v="1131"/>
    <n v="7"/>
    <m/>
    <s v="GEO1001"/>
    <x v="1"/>
    <s v="Q1 2020"/>
    <s v="Q1 2020"/>
  </r>
  <r>
    <x v="24"/>
    <x v="17"/>
    <n v="1268"/>
    <n v="7"/>
    <m/>
    <s v="GEO1001"/>
    <x v="1"/>
    <s v="Q1 2020"/>
    <s v="Q1 2020"/>
  </r>
  <r>
    <x v="24"/>
    <x v="0"/>
    <n v="1410"/>
    <n v="7"/>
    <m/>
    <s v="GEO1001"/>
    <x v="1"/>
    <s v="Q1 2020"/>
    <s v="Q1 2020"/>
  </r>
  <r>
    <x v="24"/>
    <x v="1"/>
    <n v="1688"/>
    <n v="7"/>
    <m/>
    <s v="GEO1001"/>
    <x v="1"/>
    <s v="Q2 2020"/>
    <s v="Q2 2020"/>
  </r>
  <r>
    <x v="24"/>
    <x v="2"/>
    <n v="1548"/>
    <n v="7"/>
    <m/>
    <s v="GEO1001"/>
    <x v="1"/>
    <s v="Q2 2020"/>
    <s v="Q2 2020"/>
  </r>
  <r>
    <x v="24"/>
    <x v="3"/>
    <n v="1127"/>
    <n v="7"/>
    <m/>
    <s v="GEO1001"/>
    <x v="1"/>
    <s v="Q2 2020"/>
    <s v="Q2 2020"/>
  </r>
  <r>
    <x v="24"/>
    <x v="4"/>
    <n v="984"/>
    <n v="7"/>
    <m/>
    <s v="GEO1001"/>
    <x v="1"/>
    <s v="Q3 2020"/>
    <s v="Q3 2020"/>
  </r>
  <r>
    <x v="24"/>
    <x v="5"/>
    <n v="850"/>
    <n v="7"/>
    <m/>
    <s v="GEO1001"/>
    <x v="1"/>
    <s v="Q3 2020"/>
    <s v="Q3 2020"/>
  </r>
  <r>
    <x v="24"/>
    <x v="6"/>
    <n v="850"/>
    <n v="7"/>
    <m/>
    <s v="GEO1001"/>
    <x v="1"/>
    <s v="Q3 2020"/>
    <s v="Q3 2020"/>
  </r>
  <r>
    <x v="24"/>
    <x v="7"/>
    <n v="986"/>
    <n v="7"/>
    <m/>
    <s v="GEO1001"/>
    <x v="1"/>
    <s v="Q4 2020"/>
    <s v="Q4 2020"/>
  </r>
  <r>
    <x v="24"/>
    <x v="8"/>
    <n v="1129"/>
    <n v="7"/>
    <m/>
    <s v="GEO1001"/>
    <x v="1"/>
    <s v="Q4 2020"/>
    <s v="Q4 2020"/>
  </r>
  <r>
    <x v="24"/>
    <x v="9"/>
    <n v="1131"/>
    <n v="7"/>
    <m/>
    <s v="GEO1001"/>
    <x v="1"/>
    <s v="Q4 2020"/>
    <s v="Q4 2020"/>
  </r>
  <r>
    <x v="24"/>
    <x v="10"/>
    <n v="1119"/>
    <n v="7"/>
    <m/>
    <s v="GEO1001"/>
    <x v="1"/>
    <s v="Q2 2021"/>
    <s v="Q2 2021"/>
  </r>
  <r>
    <x v="24"/>
    <x v="11"/>
    <n v="1598"/>
    <n v="7"/>
    <m/>
    <s v="GEO1001"/>
    <x v="1"/>
    <s v="Q2 2021"/>
    <s v="Q2 2021"/>
  </r>
  <r>
    <x v="24"/>
    <x v="12"/>
    <n v="1707"/>
    <n v="7"/>
    <m/>
    <s v="GEO1001"/>
    <x v="1"/>
    <s v="Q2 2021"/>
    <s v="Q2 2021"/>
  </r>
  <r>
    <x v="24"/>
    <x v="13"/>
    <n v="1404"/>
    <n v="7"/>
    <m/>
    <s v="GEO1001"/>
    <x v="1"/>
    <s v="Q1 2021"/>
    <s v="Q1 2021"/>
  </r>
  <r>
    <x v="24"/>
    <x v="14"/>
    <n v="1252"/>
    <n v="7"/>
    <m/>
    <s v="GEO1001"/>
    <x v="1"/>
    <s v="Q1 2021"/>
    <s v="Q1 2021"/>
  </r>
  <r>
    <x v="24"/>
    <x v="15"/>
    <n v="1119"/>
    <n v="7"/>
    <m/>
    <s v="GEO1001"/>
    <x v="1"/>
    <s v="Q1 2021"/>
    <s v="Q1 2021"/>
  </r>
  <r>
    <x v="25"/>
    <x v="16"/>
    <n v="318"/>
    <n v="7"/>
    <m/>
    <s v="GEO1002"/>
    <x v="3"/>
    <s v="Q1 2020"/>
    <s v="Q1 2020"/>
  </r>
  <r>
    <x v="25"/>
    <x v="17"/>
    <n v="453"/>
    <n v="7"/>
    <m/>
    <s v="GEO1002"/>
    <x v="3"/>
    <s v="Q1 2020"/>
    <s v="Q1 2020"/>
  </r>
  <r>
    <x v="25"/>
    <x v="0"/>
    <n v="411"/>
    <n v="7"/>
    <m/>
    <s v="GEO1002"/>
    <x v="3"/>
    <s v="Q1 2020"/>
    <s v="Q1 2020"/>
  </r>
  <r>
    <x v="25"/>
    <x v="1"/>
    <n v="588"/>
    <n v="7"/>
    <m/>
    <s v="GEO1002"/>
    <x v="3"/>
    <s v="Q2 2020"/>
    <s v="Q2 2020"/>
  </r>
  <r>
    <x v="25"/>
    <x v="2"/>
    <n v="457"/>
    <n v="7"/>
    <m/>
    <s v="GEO1002"/>
    <x v="3"/>
    <s v="Q2 2020"/>
    <s v="Q2 2020"/>
  </r>
  <r>
    <x v="25"/>
    <x v="3"/>
    <n v="410"/>
    <n v="7"/>
    <m/>
    <s v="GEO1002"/>
    <x v="3"/>
    <s v="Q2 2020"/>
    <s v="Q2 2020"/>
  </r>
  <r>
    <x v="25"/>
    <x v="4"/>
    <n v="273"/>
    <n v="7"/>
    <m/>
    <s v="GEO1002"/>
    <x v="3"/>
    <s v="Q3 2020"/>
    <s v="Q3 2020"/>
  </r>
  <r>
    <x v="25"/>
    <x v="5"/>
    <n v="317"/>
    <n v="7"/>
    <m/>
    <s v="GEO1002"/>
    <x v="3"/>
    <s v="Q3 2020"/>
    <s v="Q3 2020"/>
  </r>
  <r>
    <x v="25"/>
    <x v="6"/>
    <n v="233"/>
    <n v="7"/>
    <m/>
    <s v="GEO1002"/>
    <x v="3"/>
    <s v="Q3 2020"/>
    <s v="Q3 2020"/>
  </r>
  <r>
    <x v="25"/>
    <x v="7"/>
    <n v="367"/>
    <n v="7"/>
    <m/>
    <s v="GEO1002"/>
    <x v="3"/>
    <s v="Q4 2020"/>
    <s v="Q4 2020"/>
  </r>
  <r>
    <x v="25"/>
    <x v="8"/>
    <n v="322"/>
    <n v="7"/>
    <m/>
    <s v="GEO1002"/>
    <x v="3"/>
    <s v="Q4 2020"/>
    <s v="Q4 2020"/>
  </r>
  <r>
    <x v="25"/>
    <x v="9"/>
    <n v="407"/>
    <n v="7"/>
    <m/>
    <s v="GEO1002"/>
    <x v="3"/>
    <s v="Q4 2020"/>
    <s v="Q4 2020"/>
  </r>
  <r>
    <x v="25"/>
    <x v="10"/>
    <n v="409"/>
    <n v="7"/>
    <m/>
    <s v="GEO1002"/>
    <x v="3"/>
    <s v="Q2 2021"/>
    <s v="Q2 2021"/>
  </r>
  <r>
    <x v="25"/>
    <x v="11"/>
    <n v="459"/>
    <n v="7"/>
    <m/>
    <s v="GEO1002"/>
    <x v="3"/>
    <s v="Q2 2021"/>
    <s v="Q2 2021"/>
  </r>
  <r>
    <x v="25"/>
    <x v="12"/>
    <n v="591"/>
    <n v="7"/>
    <m/>
    <s v="GEO1002"/>
    <x v="3"/>
    <s v="Q2 2021"/>
    <s v="Q2 2021"/>
  </r>
  <r>
    <x v="25"/>
    <x v="13"/>
    <n v="421"/>
    <n v="7"/>
    <m/>
    <s v="GEO1002"/>
    <x v="3"/>
    <s v="Q1 2021"/>
    <s v="Q1 2021"/>
  </r>
  <r>
    <x v="25"/>
    <x v="14"/>
    <n v="456"/>
    <n v="7"/>
    <m/>
    <s v="GEO1002"/>
    <x v="3"/>
    <s v="Q1 2021"/>
    <s v="Q1 2021"/>
  </r>
  <r>
    <x v="25"/>
    <x v="15"/>
    <n v="316"/>
    <n v="7"/>
    <m/>
    <s v="GEO1002"/>
    <x v="3"/>
    <s v="Q1 2021"/>
    <s v="Q1 2021"/>
  </r>
  <r>
    <x v="26"/>
    <x v="16"/>
    <n v="1488"/>
    <n v="7"/>
    <m/>
    <s v="GEO1001"/>
    <x v="1"/>
    <s v="Q1 2020"/>
    <s v="Q1 2020"/>
  </r>
  <r>
    <x v="26"/>
    <x v="17"/>
    <n v="1674"/>
    <n v="7"/>
    <m/>
    <s v="GEO1001"/>
    <x v="1"/>
    <s v="Q1 2020"/>
    <s v="Q1 2020"/>
  </r>
  <r>
    <x v="26"/>
    <x v="0"/>
    <n v="1862"/>
    <n v="7"/>
    <m/>
    <s v="GEO1001"/>
    <x v="1"/>
    <s v="Q1 2020"/>
    <s v="Q1 2020"/>
  </r>
  <r>
    <x v="26"/>
    <x v="1"/>
    <n v="2231"/>
    <n v="7"/>
    <m/>
    <s v="GEO1001"/>
    <x v="1"/>
    <s v="Q2 2020"/>
    <s v="Q2 2020"/>
  </r>
  <r>
    <x v="26"/>
    <x v="2"/>
    <n v="2049"/>
    <n v="7"/>
    <m/>
    <s v="GEO1001"/>
    <x v="1"/>
    <s v="Q2 2020"/>
    <s v="Q2 2020"/>
  </r>
  <r>
    <x v="26"/>
    <x v="3"/>
    <n v="1489"/>
    <n v="7"/>
    <m/>
    <s v="GEO1001"/>
    <x v="1"/>
    <s v="Q2 2020"/>
    <s v="Q2 2020"/>
  </r>
  <r>
    <x v="26"/>
    <x v="4"/>
    <n v="1301"/>
    <n v="7"/>
    <m/>
    <s v="GEO1001"/>
    <x v="1"/>
    <s v="Q3 2020"/>
    <s v="Q3 2020"/>
  </r>
  <r>
    <x v="26"/>
    <x v="5"/>
    <n v="1118"/>
    <n v="7"/>
    <m/>
    <s v="GEO1001"/>
    <x v="1"/>
    <s v="Q3 2020"/>
    <s v="Q3 2020"/>
  </r>
  <r>
    <x v="26"/>
    <x v="6"/>
    <n v="1117"/>
    <n v="7"/>
    <m/>
    <s v="GEO1001"/>
    <x v="1"/>
    <s v="Q3 2020"/>
    <s v="Q3 2020"/>
  </r>
  <r>
    <x v="26"/>
    <x v="7"/>
    <n v="1301"/>
    <n v="7"/>
    <m/>
    <s v="GEO1001"/>
    <x v="1"/>
    <s v="Q4 2020"/>
    <s v="Q4 2020"/>
  </r>
  <r>
    <x v="26"/>
    <x v="8"/>
    <n v="1488"/>
    <n v="7"/>
    <m/>
    <s v="GEO1001"/>
    <x v="1"/>
    <s v="Q4 2020"/>
    <s v="Q4 2020"/>
  </r>
  <r>
    <x v="26"/>
    <x v="9"/>
    <n v="1489"/>
    <n v="7"/>
    <m/>
    <s v="GEO1001"/>
    <x v="1"/>
    <s v="Q4 2020"/>
    <s v="Q4 2020"/>
  </r>
  <r>
    <x v="26"/>
    <x v="10"/>
    <n v="1551"/>
    <n v="7"/>
    <m/>
    <s v="GEO1001"/>
    <x v="1"/>
    <s v="Q2 2021"/>
    <s v="Q2 2021"/>
  </r>
  <r>
    <x v="26"/>
    <x v="11"/>
    <n v="2067"/>
    <n v="7"/>
    <m/>
    <s v="GEO1001"/>
    <x v="1"/>
    <s v="Q2 2021"/>
    <s v="Q2 2021"/>
  </r>
  <r>
    <x v="26"/>
    <x v="12"/>
    <n v="2277"/>
    <n v="7"/>
    <m/>
    <s v="GEO1001"/>
    <x v="1"/>
    <s v="Q2 2021"/>
    <s v="Q2 2021"/>
  </r>
  <r>
    <x v="26"/>
    <x v="13"/>
    <n v="1854"/>
    <n v="7"/>
    <m/>
    <s v="GEO1001"/>
    <x v="1"/>
    <s v="Q1 2021"/>
    <s v="Q1 2021"/>
  </r>
  <r>
    <x v="26"/>
    <x v="14"/>
    <n v="1665"/>
    <n v="7"/>
    <m/>
    <s v="GEO1001"/>
    <x v="1"/>
    <s v="Q1 2021"/>
    <s v="Q1 2021"/>
  </r>
  <r>
    <x v="26"/>
    <x v="15"/>
    <n v="1516"/>
    <n v="7"/>
    <m/>
    <s v="GEO1001"/>
    <x v="1"/>
    <s v="Q1 2021"/>
    <s v="Q1 2021"/>
  </r>
  <r>
    <x v="27"/>
    <x v="16"/>
    <n v="644"/>
    <n v="7"/>
    <m/>
    <s v="GEO1002"/>
    <x v="3"/>
    <s v="Q1 2020"/>
    <s v="Q1 2020"/>
  </r>
  <r>
    <x v="27"/>
    <x v="17"/>
    <n v="814"/>
    <n v="7"/>
    <m/>
    <s v="GEO1002"/>
    <x v="3"/>
    <s v="Q1 2020"/>
    <s v="Q1 2020"/>
  </r>
  <r>
    <x v="27"/>
    <x v="0"/>
    <n v="814"/>
    <n v="7"/>
    <m/>
    <s v="GEO1002"/>
    <x v="3"/>
    <s v="Q1 2020"/>
    <s v="Q1 2020"/>
  </r>
  <r>
    <x v="27"/>
    <x v="1"/>
    <n v="1068"/>
    <n v="7"/>
    <m/>
    <s v="GEO1002"/>
    <x v="3"/>
    <s v="Q2 2020"/>
    <s v="Q2 2020"/>
  </r>
  <r>
    <x v="27"/>
    <x v="2"/>
    <n v="899"/>
    <n v="7"/>
    <m/>
    <s v="GEO1002"/>
    <x v="3"/>
    <s v="Q2 2020"/>
    <s v="Q2 2020"/>
  </r>
  <r>
    <x v="27"/>
    <x v="3"/>
    <n v="732"/>
    <n v="7"/>
    <m/>
    <s v="GEO1002"/>
    <x v="3"/>
    <s v="Q2 2020"/>
    <s v="Q2 2020"/>
  </r>
  <r>
    <x v="27"/>
    <x v="4"/>
    <n v="560"/>
    <n v="7"/>
    <m/>
    <s v="GEO1002"/>
    <x v="3"/>
    <s v="Q3 2020"/>
    <s v="Q3 2020"/>
  </r>
  <r>
    <x v="27"/>
    <x v="5"/>
    <n v="557"/>
    <n v="7"/>
    <m/>
    <s v="GEO1002"/>
    <x v="3"/>
    <s v="Q3 2020"/>
    <s v="Q3 2020"/>
  </r>
  <r>
    <x v="27"/>
    <x v="6"/>
    <n v="473"/>
    <n v="7"/>
    <m/>
    <s v="GEO1002"/>
    <x v="3"/>
    <s v="Q3 2020"/>
    <s v="Q3 2020"/>
  </r>
  <r>
    <x v="27"/>
    <x v="7"/>
    <n v="645"/>
    <n v="7"/>
    <m/>
    <s v="GEO1002"/>
    <x v="3"/>
    <s v="Q4 2020"/>
    <s v="Q4 2020"/>
  </r>
  <r>
    <x v="27"/>
    <x v="8"/>
    <n v="643"/>
    <n v="7"/>
    <m/>
    <s v="GEO1002"/>
    <x v="3"/>
    <s v="Q4 2020"/>
    <s v="Q4 2020"/>
  </r>
  <r>
    <x v="27"/>
    <x v="9"/>
    <n v="726"/>
    <n v="7"/>
    <m/>
    <s v="GEO1002"/>
    <x v="3"/>
    <s v="Q4 2020"/>
    <s v="Q4 2020"/>
  </r>
  <r>
    <x v="27"/>
    <x v="10"/>
    <n v="755"/>
    <n v="7"/>
    <m/>
    <s v="GEO1002"/>
    <x v="3"/>
    <s v="Q2 2021"/>
    <s v="Q2 2021"/>
  </r>
  <r>
    <x v="27"/>
    <x v="11"/>
    <n v="892"/>
    <n v="7"/>
    <m/>
    <s v="GEO1002"/>
    <x v="3"/>
    <s v="Q2 2021"/>
    <s v="Q2 2021"/>
  </r>
  <r>
    <x v="27"/>
    <x v="12"/>
    <n v="1125"/>
    <n v="7"/>
    <m/>
    <s v="GEO1002"/>
    <x v="3"/>
    <s v="Q2 2021"/>
    <s v="Q2 2021"/>
  </r>
  <r>
    <x v="27"/>
    <x v="13"/>
    <n v="828"/>
    <n v="7"/>
    <m/>
    <s v="GEO1002"/>
    <x v="3"/>
    <s v="Q1 2021"/>
    <s v="Q1 2021"/>
  </r>
  <r>
    <x v="27"/>
    <x v="14"/>
    <n v="855"/>
    <n v="7"/>
    <m/>
    <s v="GEO1002"/>
    <x v="3"/>
    <s v="Q1 2021"/>
    <s v="Q1 2021"/>
  </r>
  <r>
    <x v="27"/>
    <x v="15"/>
    <n v="668"/>
    <n v="7"/>
    <m/>
    <s v="GEO1002"/>
    <x v="3"/>
    <s v="Q1 2021"/>
    <s v="Q1 2021"/>
  </r>
  <r>
    <x v="28"/>
    <x v="16"/>
    <n v="6731"/>
    <n v="7"/>
    <m/>
    <s v="GEO1001"/>
    <x v="1"/>
    <s v="Q1 2020"/>
    <s v="Q1 2020"/>
  </r>
  <r>
    <x v="28"/>
    <x v="17"/>
    <n v="5312"/>
    <n v="7"/>
    <m/>
    <s v="GEO1001"/>
    <x v="1"/>
    <s v="Q1 2020"/>
    <s v="Q1 2020"/>
  </r>
  <r>
    <x v="28"/>
    <x v="0"/>
    <n v="8146"/>
    <n v="7"/>
    <m/>
    <s v="GEO1001"/>
    <x v="1"/>
    <s v="Q1 2020"/>
    <s v="Q1 2020"/>
  </r>
  <r>
    <x v="28"/>
    <x v="1"/>
    <n v="7438"/>
    <n v="7"/>
    <m/>
    <s v="GEO1001"/>
    <x v="1"/>
    <s v="Q2 2020"/>
    <s v="Q2 2020"/>
  </r>
  <r>
    <x v="28"/>
    <x v="2"/>
    <n v="8850"/>
    <n v="7"/>
    <m/>
    <s v="GEO1001"/>
    <x v="1"/>
    <s v="Q2 2020"/>
    <s v="Q2 2020"/>
  </r>
  <r>
    <x v="28"/>
    <x v="3"/>
    <n v="4608"/>
    <n v="7"/>
    <m/>
    <s v="GEO1001"/>
    <x v="1"/>
    <s v="Q2 2020"/>
    <s v="Q2 2020"/>
  </r>
  <r>
    <x v="28"/>
    <x v="4"/>
    <n v="6024"/>
    <n v="7"/>
    <m/>
    <s v="GEO1001"/>
    <x v="1"/>
    <s v="Q3 2020"/>
    <s v="Q3 2020"/>
  </r>
  <r>
    <x v="28"/>
    <x v="5"/>
    <n v="3188"/>
    <n v="7"/>
    <m/>
    <s v="GEO1001"/>
    <x v="1"/>
    <s v="Q3 2020"/>
    <s v="Q3 2020"/>
  </r>
  <r>
    <x v="28"/>
    <x v="6"/>
    <n v="5313"/>
    <n v="7"/>
    <m/>
    <s v="GEO1001"/>
    <x v="1"/>
    <s v="Q3 2020"/>
    <s v="Q3 2020"/>
  </r>
  <r>
    <x v="28"/>
    <x v="7"/>
    <n v="3897"/>
    <n v="7"/>
    <m/>
    <s v="GEO1001"/>
    <x v="1"/>
    <s v="Q4 2020"/>
    <s v="Q4 2020"/>
  </r>
  <r>
    <x v="28"/>
    <x v="8"/>
    <n v="6730"/>
    <n v="7"/>
    <m/>
    <s v="GEO1001"/>
    <x v="1"/>
    <s v="Q4 2020"/>
    <s v="Q4 2020"/>
  </r>
  <r>
    <x v="28"/>
    <x v="9"/>
    <n v="4607"/>
    <n v="7"/>
    <m/>
    <s v="GEO1001"/>
    <x v="1"/>
    <s v="Q4 2020"/>
    <s v="Q4 2020"/>
  </r>
  <r>
    <x v="28"/>
    <x v="10"/>
    <n v="4556"/>
    <n v="7"/>
    <m/>
    <s v="GEO1001"/>
    <x v="1"/>
    <s v="Q2 2021"/>
    <s v="Q2 2021"/>
  </r>
  <r>
    <x v="28"/>
    <x v="11"/>
    <n v="8806"/>
    <n v="7"/>
    <m/>
    <s v="GEO1001"/>
    <x v="1"/>
    <s v="Q2 2021"/>
    <s v="Q2 2021"/>
  </r>
  <r>
    <x v="28"/>
    <x v="12"/>
    <n v="7735"/>
    <n v="7"/>
    <m/>
    <s v="GEO1001"/>
    <x v="1"/>
    <s v="Q2 2021"/>
    <s v="Q2 2021"/>
  </r>
  <r>
    <x v="28"/>
    <x v="13"/>
    <n v="8064"/>
    <n v="7"/>
    <m/>
    <s v="GEO1001"/>
    <x v="1"/>
    <s v="Q1 2021"/>
    <s v="Q1 2021"/>
  </r>
  <r>
    <x v="28"/>
    <x v="14"/>
    <n v="5257"/>
    <n v="7"/>
    <m/>
    <s v="GEO1001"/>
    <x v="1"/>
    <s v="Q1 2021"/>
    <s v="Q1 2021"/>
  </r>
  <r>
    <x v="28"/>
    <x v="15"/>
    <n v="6996"/>
    <n v="7"/>
    <m/>
    <s v="GEO1001"/>
    <x v="1"/>
    <s v="Q1 2021"/>
    <s v="Q1 2021"/>
  </r>
  <r>
    <x v="29"/>
    <x v="16"/>
    <n v="1087"/>
    <n v="7"/>
    <m/>
    <s v="GEO1001"/>
    <x v="1"/>
    <s v="Q1 2020"/>
    <s v="Q1 2020"/>
  </r>
  <r>
    <x v="29"/>
    <x v="17"/>
    <n v="1224"/>
    <n v="7"/>
    <m/>
    <s v="GEO1001"/>
    <x v="1"/>
    <s v="Q1 2020"/>
    <s v="Q1 2020"/>
  </r>
  <r>
    <x v="29"/>
    <x v="0"/>
    <n v="1362"/>
    <n v="7"/>
    <m/>
    <s v="GEO1001"/>
    <x v="1"/>
    <s v="Q1 2020"/>
    <s v="Q1 2020"/>
  </r>
  <r>
    <x v="29"/>
    <x v="1"/>
    <n v="1633"/>
    <n v="7"/>
    <m/>
    <s v="GEO1001"/>
    <x v="1"/>
    <s v="Q2 2020"/>
    <s v="Q2 2020"/>
  </r>
  <r>
    <x v="29"/>
    <x v="2"/>
    <n v="1492"/>
    <n v="7"/>
    <m/>
    <s v="GEO1001"/>
    <x v="1"/>
    <s v="Q2 2020"/>
    <s v="Q2 2020"/>
  </r>
  <r>
    <x v="29"/>
    <x v="3"/>
    <n v="1091"/>
    <n v="7"/>
    <m/>
    <s v="GEO1001"/>
    <x v="1"/>
    <s v="Q2 2020"/>
    <s v="Q2 2020"/>
  </r>
  <r>
    <x v="29"/>
    <x v="4"/>
    <n v="950"/>
    <n v="7"/>
    <m/>
    <s v="GEO1001"/>
    <x v="1"/>
    <s v="Q3 2020"/>
    <s v="Q3 2020"/>
  </r>
  <r>
    <x v="29"/>
    <x v="5"/>
    <n v="818"/>
    <n v="7"/>
    <m/>
    <s v="GEO1001"/>
    <x v="1"/>
    <s v="Q3 2020"/>
    <s v="Q3 2020"/>
  </r>
  <r>
    <x v="29"/>
    <x v="6"/>
    <n v="820"/>
    <n v="7"/>
    <m/>
    <s v="GEO1001"/>
    <x v="1"/>
    <s v="Q3 2020"/>
    <s v="Q3 2020"/>
  </r>
  <r>
    <x v="29"/>
    <x v="7"/>
    <n v="954"/>
    <n v="7"/>
    <m/>
    <s v="GEO1001"/>
    <x v="1"/>
    <s v="Q4 2020"/>
    <s v="Q4 2020"/>
  </r>
  <r>
    <x v="29"/>
    <x v="8"/>
    <n v="1086"/>
    <n v="7"/>
    <m/>
    <s v="GEO1001"/>
    <x v="1"/>
    <s v="Q4 2020"/>
    <s v="Q4 2020"/>
  </r>
  <r>
    <x v="29"/>
    <x v="9"/>
    <n v="1091"/>
    <n v="7"/>
    <m/>
    <s v="GEO1001"/>
    <x v="1"/>
    <s v="Q4 2020"/>
    <s v="Q4 2020"/>
  </r>
  <r>
    <x v="29"/>
    <x v="12"/>
    <n v="1614"/>
    <n v="7"/>
    <m/>
    <s v="GEO1001"/>
    <x v="1"/>
    <s v="Q2 2021"/>
    <s v="Q2 2021"/>
  </r>
  <r>
    <x v="29"/>
    <x v="13"/>
    <n v="1426"/>
    <n v="7"/>
    <m/>
    <s v="GEO1001"/>
    <x v="1"/>
    <s v="Q1 2021"/>
    <s v="Q1 2021"/>
  </r>
  <r>
    <x v="29"/>
    <x v="14"/>
    <n v="1220"/>
    <n v="7"/>
    <m/>
    <s v="GEO1001"/>
    <x v="1"/>
    <s v="Q1 2021"/>
    <s v="Q1 2021"/>
  </r>
  <r>
    <x v="29"/>
    <x v="15"/>
    <n v="1113"/>
    <n v="7"/>
    <m/>
    <s v="GEO1001"/>
    <x v="1"/>
    <s v="Q1 2021"/>
    <s v="Q1 2021"/>
  </r>
  <r>
    <x v="30"/>
    <x v="16"/>
    <n v="303"/>
    <n v="7"/>
    <m/>
    <s v="GEO1004"/>
    <x v="0"/>
    <s v="Q1 2020"/>
    <s v="Q1 2020"/>
  </r>
  <r>
    <x v="30"/>
    <x v="17"/>
    <n v="304"/>
    <n v="7"/>
    <m/>
    <s v="GEO1004"/>
    <x v="0"/>
    <s v="Q1 2020"/>
    <s v="Q1 2020"/>
  </r>
  <r>
    <x v="30"/>
    <x v="0"/>
    <n v="375"/>
    <n v="7"/>
    <m/>
    <s v="GEO1004"/>
    <x v="0"/>
    <s v="Q1 2020"/>
    <s v="Q1 2020"/>
  </r>
  <r>
    <x v="30"/>
    <x v="1"/>
    <n v="407"/>
    <n v="7"/>
    <m/>
    <s v="GEO1004"/>
    <x v="0"/>
    <s v="Q2 2020"/>
    <s v="Q2 2020"/>
  </r>
  <r>
    <x v="30"/>
    <x v="2"/>
    <n v="405"/>
    <n v="7"/>
    <m/>
    <s v="GEO1004"/>
    <x v="0"/>
    <s v="Q2 2020"/>
    <s v="Q2 2020"/>
  </r>
  <r>
    <x v="30"/>
    <x v="3"/>
    <n v="267"/>
    <n v="7"/>
    <m/>
    <s v="GEO1004"/>
    <x v="0"/>
    <s v="Q2 2020"/>
    <s v="Q2 2020"/>
  </r>
  <r>
    <x v="30"/>
    <x v="4"/>
    <n v="264"/>
    <n v="7"/>
    <m/>
    <s v="GEO1004"/>
    <x v="0"/>
    <s v="Q3 2020"/>
    <s v="Q3 2020"/>
  </r>
  <r>
    <x v="30"/>
    <x v="5"/>
    <n v="195"/>
    <n v="7"/>
    <m/>
    <s v="GEO1004"/>
    <x v="0"/>
    <s v="Q3 2020"/>
    <s v="Q3 2020"/>
  </r>
  <r>
    <x v="30"/>
    <x v="6"/>
    <n v="232"/>
    <n v="7"/>
    <m/>
    <s v="GEO1004"/>
    <x v="0"/>
    <s v="Q3 2020"/>
    <s v="Q3 2020"/>
  </r>
  <r>
    <x v="30"/>
    <x v="7"/>
    <n v="233"/>
    <n v="7"/>
    <m/>
    <s v="GEO1004"/>
    <x v="0"/>
    <s v="Q4 2020"/>
    <s v="Q4 2020"/>
  </r>
  <r>
    <x v="30"/>
    <x v="8"/>
    <n v="306"/>
    <n v="7"/>
    <m/>
    <s v="GEO1004"/>
    <x v="0"/>
    <s v="Q4 2020"/>
    <s v="Q4 2020"/>
  </r>
  <r>
    <x v="30"/>
    <x v="9"/>
    <n v="267"/>
    <n v="7"/>
    <m/>
    <s v="GEO1004"/>
    <x v="0"/>
    <s v="Q4 2020"/>
    <s v="Q4 2020"/>
  </r>
  <r>
    <x v="30"/>
    <x v="10"/>
    <n v="261"/>
    <n v="7"/>
    <m/>
    <s v="GEO1004"/>
    <x v="0"/>
    <s v="Q2 2021"/>
    <s v="Q2 2021"/>
  </r>
  <r>
    <x v="30"/>
    <x v="11"/>
    <n v="405"/>
    <n v="7"/>
    <m/>
    <s v="GEO1004"/>
    <x v="0"/>
    <s v="Q2 2021"/>
    <s v="Q2 2021"/>
  </r>
  <r>
    <x v="30"/>
    <x v="12"/>
    <n v="422"/>
    <n v="7"/>
    <m/>
    <s v="GEO1004"/>
    <x v="0"/>
    <s v="Q2 2021"/>
    <s v="Q2 2021"/>
  </r>
  <r>
    <x v="30"/>
    <x v="13"/>
    <n v="390"/>
    <n v="7"/>
    <m/>
    <s v="GEO1004"/>
    <x v="0"/>
    <s v="Q1 2021"/>
    <s v="Q1 2021"/>
  </r>
  <r>
    <x v="30"/>
    <x v="14"/>
    <n v="304"/>
    <n v="7"/>
    <m/>
    <s v="GEO1004"/>
    <x v="0"/>
    <s v="Q1 2021"/>
    <s v="Q1 2021"/>
  </r>
  <r>
    <x v="30"/>
    <x v="15"/>
    <n v="302"/>
    <n v="7"/>
    <m/>
    <s v="GEO1004"/>
    <x v="0"/>
    <s v="Q1 2021"/>
    <s v="Q1 2021"/>
  </r>
  <r>
    <x v="31"/>
    <x v="16"/>
    <n v="30584"/>
    <n v="7"/>
    <m/>
    <s v="GEO1001"/>
    <x v="1"/>
    <s v="Q1 2020"/>
    <s v="Q1 2020"/>
  </r>
  <r>
    <x v="31"/>
    <x v="17"/>
    <n v="27186"/>
    <n v="7"/>
    <m/>
    <s v="GEO1001"/>
    <x v="1"/>
    <s v="Q1 2020"/>
    <s v="Q1 2020"/>
  </r>
  <r>
    <x v="31"/>
    <x v="0"/>
    <n v="37383"/>
    <n v="7"/>
    <m/>
    <s v="GEO1001"/>
    <x v="1"/>
    <s v="Q1 2020"/>
    <s v="Q1 2020"/>
  </r>
  <r>
    <x v="31"/>
    <x v="1"/>
    <n v="37379"/>
    <n v="7"/>
    <m/>
    <s v="GEO1001"/>
    <x v="1"/>
    <s v="Q2 2020"/>
    <s v="Q2 2020"/>
  </r>
  <r>
    <x v="31"/>
    <x v="2"/>
    <n v="40779"/>
    <n v="7"/>
    <m/>
    <s v="GEO1001"/>
    <x v="1"/>
    <s v="Q2 2020"/>
    <s v="Q2 2020"/>
  </r>
  <r>
    <x v="31"/>
    <x v="3"/>
    <n v="23788"/>
    <n v="7"/>
    <m/>
    <s v="GEO1001"/>
    <x v="1"/>
    <s v="Q2 2020"/>
    <s v="Q2 2020"/>
  </r>
  <r>
    <x v="31"/>
    <x v="4"/>
    <n v="27188"/>
    <n v="7"/>
    <m/>
    <s v="GEO1001"/>
    <x v="1"/>
    <s v="Q3 2020"/>
    <s v="Q3 2020"/>
  </r>
  <r>
    <x v="31"/>
    <x v="5"/>
    <n v="16996"/>
    <n v="7"/>
    <m/>
    <s v="GEO1001"/>
    <x v="1"/>
    <s v="Q3 2020"/>
    <s v="Q3 2020"/>
  </r>
  <r>
    <x v="31"/>
    <x v="6"/>
    <n v="23792"/>
    <n v="7"/>
    <m/>
    <s v="GEO1001"/>
    <x v="1"/>
    <s v="Q3 2020"/>
    <s v="Q3 2020"/>
  </r>
  <r>
    <x v="31"/>
    <x v="7"/>
    <n v="20390"/>
    <n v="7"/>
    <m/>
    <s v="GEO1001"/>
    <x v="1"/>
    <s v="Q4 2020"/>
    <s v="Q4 2020"/>
  </r>
  <r>
    <x v="31"/>
    <x v="8"/>
    <n v="30586"/>
    <n v="7"/>
    <m/>
    <s v="GEO1001"/>
    <x v="1"/>
    <s v="Q4 2020"/>
    <s v="Q4 2020"/>
  </r>
  <r>
    <x v="31"/>
    <x v="9"/>
    <n v="23787"/>
    <n v="7"/>
    <m/>
    <s v="GEO1001"/>
    <x v="1"/>
    <s v="Q4 2020"/>
    <s v="Q4 2020"/>
  </r>
  <r>
    <x v="31"/>
    <x v="10"/>
    <n v="24737"/>
    <n v="7"/>
    <m/>
    <s v="GEO1001"/>
    <x v="1"/>
    <s v="Q2 2021"/>
    <s v="Q2 2021"/>
  </r>
  <r>
    <x v="31"/>
    <x v="11"/>
    <n v="41598"/>
    <n v="7"/>
    <m/>
    <s v="GEO1001"/>
    <x v="1"/>
    <s v="Q2 2021"/>
    <s v="Q2 2021"/>
  </r>
  <r>
    <x v="31"/>
    <x v="12"/>
    <n v="38878"/>
    <n v="7"/>
    <m/>
    <s v="GEO1001"/>
    <x v="1"/>
    <s v="Q2 2021"/>
    <s v="Q2 2021"/>
  </r>
  <r>
    <x v="31"/>
    <x v="13"/>
    <n v="39253"/>
    <n v="7"/>
    <m/>
    <s v="GEO1001"/>
    <x v="1"/>
    <s v="Q1 2021"/>
    <s v="Q1 2021"/>
  </r>
  <r>
    <x v="31"/>
    <x v="14"/>
    <n v="27048"/>
    <n v="7"/>
    <m/>
    <s v="GEO1001"/>
    <x v="1"/>
    <s v="Q1 2021"/>
    <s v="Q1 2021"/>
  </r>
  <r>
    <x v="31"/>
    <x v="15"/>
    <n v="32111"/>
    <n v="7"/>
    <m/>
    <s v="GEO1001"/>
    <x v="1"/>
    <s v="Q1 2021"/>
    <s v="Q1 2021"/>
  </r>
  <r>
    <x v="32"/>
    <x v="16"/>
    <n v="866"/>
    <n v="7"/>
    <m/>
    <s v="GEO1003"/>
    <x v="2"/>
    <s v="Q1 2020"/>
    <s v="Q1 2020"/>
  </r>
  <r>
    <x v="32"/>
    <x v="17"/>
    <n v="1101"/>
    <n v="7"/>
    <m/>
    <s v="GEO1003"/>
    <x v="2"/>
    <s v="Q1 2020"/>
    <s v="Q1 2020"/>
  </r>
  <r>
    <x v="32"/>
    <x v="0"/>
    <n v="1103"/>
    <n v="7"/>
    <m/>
    <s v="GEO1003"/>
    <x v="2"/>
    <s v="Q1 2020"/>
    <s v="Q1 2020"/>
  </r>
  <r>
    <x v="32"/>
    <x v="1"/>
    <n v="1447"/>
    <n v="7"/>
    <m/>
    <s v="GEO1003"/>
    <x v="2"/>
    <s v="Q2 2020"/>
    <s v="Q2 2020"/>
  </r>
  <r>
    <x v="32"/>
    <x v="2"/>
    <n v="1213"/>
    <n v="7"/>
    <m/>
    <s v="GEO1003"/>
    <x v="2"/>
    <s v="Q2 2020"/>
    <s v="Q2 2020"/>
  </r>
  <r>
    <x v="32"/>
    <x v="3"/>
    <n v="988"/>
    <n v="7"/>
    <m/>
    <s v="GEO1003"/>
    <x v="2"/>
    <s v="Q2 2020"/>
    <s v="Q2 2020"/>
  </r>
  <r>
    <x v="32"/>
    <x v="4"/>
    <n v="752"/>
    <n v="7"/>
    <m/>
    <s v="GEO1003"/>
    <x v="2"/>
    <s v="Q3 2020"/>
    <s v="Q3 2020"/>
  </r>
  <r>
    <x v="32"/>
    <x v="5"/>
    <n v="756"/>
    <n v="7"/>
    <m/>
    <s v="GEO1003"/>
    <x v="2"/>
    <s v="Q3 2020"/>
    <s v="Q3 2020"/>
  </r>
  <r>
    <x v="32"/>
    <x v="6"/>
    <n v="641"/>
    <n v="7"/>
    <m/>
    <s v="GEO1003"/>
    <x v="2"/>
    <s v="Q3 2020"/>
    <s v="Q3 2020"/>
  </r>
  <r>
    <x v="32"/>
    <x v="7"/>
    <n v="867"/>
    <n v="7"/>
    <m/>
    <s v="GEO1003"/>
    <x v="2"/>
    <s v="Q4 2020"/>
    <s v="Q4 2020"/>
  </r>
  <r>
    <x v="32"/>
    <x v="8"/>
    <n v="866"/>
    <n v="7"/>
    <m/>
    <s v="GEO1003"/>
    <x v="2"/>
    <s v="Q4 2020"/>
    <s v="Q4 2020"/>
  </r>
  <r>
    <x v="32"/>
    <x v="9"/>
    <n v="986"/>
    <n v="7"/>
    <m/>
    <s v="GEO1003"/>
    <x v="2"/>
    <s v="Q4 2020"/>
    <s v="Q4 2020"/>
  </r>
  <r>
    <x v="32"/>
    <x v="10"/>
    <n v="997"/>
    <n v="7"/>
    <m/>
    <s v="GEO1003"/>
    <x v="2"/>
    <s v="Q2 2021"/>
    <s v="Q2 2021"/>
  </r>
  <r>
    <x v="32"/>
    <x v="11"/>
    <n v="1206"/>
    <n v="7"/>
    <m/>
    <s v="GEO1003"/>
    <x v="2"/>
    <s v="Q2 2021"/>
    <s v="Q2 2021"/>
  </r>
  <r>
    <x v="32"/>
    <x v="12"/>
    <n v="1519"/>
    <n v="7"/>
    <m/>
    <s v="GEO1003"/>
    <x v="2"/>
    <s v="Q2 2021"/>
    <s v="Q2 2021"/>
  </r>
  <r>
    <x v="32"/>
    <x v="13"/>
    <n v="1096"/>
    <n v="7"/>
    <m/>
    <s v="GEO1003"/>
    <x v="2"/>
    <s v="Q1 2021"/>
    <s v="Q1 2021"/>
  </r>
  <r>
    <x v="32"/>
    <x v="14"/>
    <n v="1110"/>
    <n v="7"/>
    <m/>
    <s v="GEO1003"/>
    <x v="2"/>
    <s v="Q1 2021"/>
    <s v="Q1 2021"/>
  </r>
  <r>
    <x v="32"/>
    <x v="15"/>
    <n v="880"/>
    <n v="7"/>
    <m/>
    <s v="GEO1003"/>
    <x v="2"/>
    <s v="Q1 2021"/>
    <s v="Q1 2021"/>
  </r>
  <r>
    <x v="33"/>
    <x v="16"/>
    <n v="9422"/>
    <n v="7"/>
    <m/>
    <s v="GEO1002"/>
    <x v="3"/>
    <s v="Q1 2020"/>
    <s v="Q1 2020"/>
  </r>
  <r>
    <x v="33"/>
    <x v="17"/>
    <n v="7438"/>
    <n v="7"/>
    <m/>
    <s v="GEO1002"/>
    <x v="3"/>
    <s v="Q1 2020"/>
    <s v="Q1 2020"/>
  </r>
  <r>
    <x v="33"/>
    <x v="0"/>
    <n v="11403"/>
    <n v="7"/>
    <m/>
    <s v="GEO1002"/>
    <x v="3"/>
    <s v="Q1 2020"/>
    <s v="Q1 2020"/>
  </r>
  <r>
    <x v="33"/>
    <x v="1"/>
    <n v="10408"/>
    <n v="7"/>
    <m/>
    <s v="GEO1002"/>
    <x v="3"/>
    <s v="Q2 2020"/>
    <s v="Q2 2020"/>
  </r>
  <r>
    <x v="33"/>
    <x v="2"/>
    <n v="12392"/>
    <n v="7"/>
    <m/>
    <s v="GEO1002"/>
    <x v="3"/>
    <s v="Q2 2020"/>
    <s v="Q2 2020"/>
  </r>
  <r>
    <x v="33"/>
    <x v="3"/>
    <n v="6449"/>
    <n v="7"/>
    <m/>
    <s v="GEO1002"/>
    <x v="3"/>
    <s v="Q2 2020"/>
    <s v="Q2 2020"/>
  </r>
  <r>
    <x v="33"/>
    <x v="4"/>
    <n v="8425"/>
    <n v="7"/>
    <m/>
    <s v="GEO1002"/>
    <x v="3"/>
    <s v="Q3 2020"/>
    <s v="Q3 2020"/>
  </r>
  <r>
    <x v="33"/>
    <x v="5"/>
    <n v="4464"/>
    <n v="7"/>
    <m/>
    <s v="GEO1002"/>
    <x v="3"/>
    <s v="Q3 2020"/>
    <s v="Q3 2020"/>
  </r>
  <r>
    <x v="33"/>
    <x v="6"/>
    <n v="7440"/>
    <n v="7"/>
    <m/>
    <s v="GEO1002"/>
    <x v="3"/>
    <s v="Q3 2020"/>
    <s v="Q3 2020"/>
  </r>
  <r>
    <x v="33"/>
    <x v="7"/>
    <n v="5452"/>
    <n v="7"/>
    <m/>
    <s v="GEO1002"/>
    <x v="3"/>
    <s v="Q4 2020"/>
    <s v="Q4 2020"/>
  </r>
  <r>
    <x v="33"/>
    <x v="8"/>
    <n v="9422"/>
    <n v="7"/>
    <m/>
    <s v="GEO1002"/>
    <x v="3"/>
    <s v="Q4 2020"/>
    <s v="Q4 2020"/>
  </r>
  <r>
    <x v="33"/>
    <x v="9"/>
    <n v="6445"/>
    <n v="7"/>
    <m/>
    <s v="GEO1002"/>
    <x v="3"/>
    <s v="Q4 2020"/>
    <s v="Q4 2020"/>
  </r>
  <r>
    <x v="33"/>
    <x v="10"/>
    <n v="6576"/>
    <n v="7"/>
    <m/>
    <s v="GEO1002"/>
    <x v="3"/>
    <s v="Q2 2021"/>
    <s v="Q2 2021"/>
  </r>
  <r>
    <x v="33"/>
    <x v="11"/>
    <n v="13012"/>
    <n v="7"/>
    <m/>
    <s v="GEO1002"/>
    <x v="3"/>
    <s v="Q2 2021"/>
    <s v="Q2 2021"/>
  </r>
  <r>
    <x v="33"/>
    <x v="12"/>
    <n v="10308"/>
    <n v="7"/>
    <m/>
    <s v="GEO1002"/>
    <x v="3"/>
    <s v="Q2 2021"/>
    <s v="Q2 2021"/>
  </r>
  <r>
    <x v="33"/>
    <x v="13"/>
    <n v="11287"/>
    <n v="7"/>
    <m/>
    <s v="GEO1002"/>
    <x v="3"/>
    <s v="Q1 2021"/>
    <s v="Q1 2021"/>
  </r>
  <r>
    <x v="33"/>
    <x v="14"/>
    <n v="7361"/>
    <n v="7"/>
    <m/>
    <s v="GEO1002"/>
    <x v="3"/>
    <s v="Q1 2021"/>
    <s v="Q1 2021"/>
  </r>
  <r>
    <x v="33"/>
    <x v="15"/>
    <n v="9604"/>
    <n v="7"/>
    <m/>
    <s v="GEO1002"/>
    <x v="3"/>
    <s v="Q1 2021"/>
    <s v="Q1 2021"/>
  </r>
  <r>
    <x v="34"/>
    <x v="16"/>
    <n v="19257"/>
    <n v="7"/>
    <m/>
    <s v="GEO1003"/>
    <x v="2"/>
    <s v="Q1 2020"/>
    <s v="Q1 2020"/>
  </r>
  <r>
    <x v="34"/>
    <x v="17"/>
    <n v="19258"/>
    <n v="7"/>
    <m/>
    <s v="GEO1003"/>
    <x v="2"/>
    <s v="Q1 2020"/>
    <s v="Q1 2020"/>
  </r>
  <r>
    <x v="34"/>
    <x v="0"/>
    <n v="23787"/>
    <n v="7"/>
    <m/>
    <s v="GEO1003"/>
    <x v="2"/>
    <s v="Q1 2020"/>
    <s v="Q1 2020"/>
  </r>
  <r>
    <x v="34"/>
    <x v="1"/>
    <n v="26053"/>
    <n v="7"/>
    <m/>
    <s v="GEO1003"/>
    <x v="2"/>
    <s v="Q2 2020"/>
    <s v="Q2 2020"/>
  </r>
  <r>
    <x v="34"/>
    <x v="2"/>
    <n v="26056"/>
    <n v="7"/>
    <m/>
    <s v="GEO1003"/>
    <x v="2"/>
    <s v="Q2 2020"/>
    <s v="Q2 2020"/>
  </r>
  <r>
    <x v="34"/>
    <x v="3"/>
    <n v="16993"/>
    <n v="7"/>
    <m/>
    <s v="GEO1003"/>
    <x v="2"/>
    <s v="Q2 2020"/>
    <s v="Q2 2020"/>
  </r>
  <r>
    <x v="34"/>
    <x v="4"/>
    <n v="16994"/>
    <n v="7"/>
    <m/>
    <s v="GEO1003"/>
    <x v="2"/>
    <s v="Q3 2020"/>
    <s v="Q3 2020"/>
  </r>
  <r>
    <x v="34"/>
    <x v="5"/>
    <n v="12464"/>
    <n v="7"/>
    <m/>
    <s v="GEO1003"/>
    <x v="2"/>
    <s v="Q3 2020"/>
    <s v="Q3 2020"/>
  </r>
  <r>
    <x v="34"/>
    <x v="6"/>
    <n v="14726"/>
    <n v="7"/>
    <m/>
    <s v="GEO1003"/>
    <x v="2"/>
    <s v="Q3 2020"/>
    <s v="Q3 2020"/>
  </r>
  <r>
    <x v="34"/>
    <x v="7"/>
    <n v="14726"/>
    <n v="7"/>
    <m/>
    <s v="GEO1003"/>
    <x v="2"/>
    <s v="Q4 2020"/>
    <s v="Q4 2020"/>
  </r>
  <r>
    <x v="34"/>
    <x v="8"/>
    <n v="19258"/>
    <n v="7"/>
    <m/>
    <s v="GEO1003"/>
    <x v="2"/>
    <s v="Q4 2020"/>
    <s v="Q4 2020"/>
  </r>
  <r>
    <x v="34"/>
    <x v="9"/>
    <n v="16992"/>
    <n v="7"/>
    <m/>
    <s v="GEO1003"/>
    <x v="2"/>
    <s v="Q4 2020"/>
    <s v="Q4 2020"/>
  </r>
  <r>
    <x v="34"/>
    <x v="10"/>
    <n v="17501"/>
    <n v="7"/>
    <m/>
    <s v="GEO1003"/>
    <x v="2"/>
    <s v="Q2 2021"/>
    <s v="Q2 2021"/>
  </r>
  <r>
    <x v="34"/>
    <x v="11"/>
    <n v="26834"/>
    <n v="7"/>
    <m/>
    <s v="GEO1003"/>
    <x v="2"/>
    <s v="Q2 2021"/>
    <s v="Q2 2021"/>
  </r>
  <r>
    <x v="34"/>
    <x v="12"/>
    <n v="26840"/>
    <n v="7"/>
    <m/>
    <s v="GEO1003"/>
    <x v="2"/>
    <s v="Q2 2021"/>
    <s v="Q2 2021"/>
  </r>
  <r>
    <x v="34"/>
    <x v="13"/>
    <n v="23553"/>
    <n v="7"/>
    <m/>
    <s v="GEO1003"/>
    <x v="2"/>
    <s v="Q1 2021"/>
    <s v="Q1 2021"/>
  </r>
  <r>
    <x v="34"/>
    <x v="14"/>
    <n v="19839"/>
    <n v="7"/>
    <m/>
    <s v="GEO1003"/>
    <x v="2"/>
    <s v="Q1 2021"/>
    <s v="Q1 2021"/>
  </r>
  <r>
    <x v="34"/>
    <x v="15"/>
    <n v="20221"/>
    <n v="7"/>
    <m/>
    <s v="GEO1003"/>
    <x v="2"/>
    <s v="Q1 2021"/>
    <s v="Q1 2021"/>
  </r>
  <r>
    <x v="35"/>
    <x v="16"/>
    <n v="277"/>
    <n v="7"/>
    <m/>
    <s v="GEO1002"/>
    <x v="3"/>
    <s v="Q1 2020"/>
    <s v="Q1 2020"/>
  </r>
  <r>
    <x v="35"/>
    <x v="17"/>
    <n v="244"/>
    <n v="7"/>
    <m/>
    <s v="GEO1002"/>
    <x v="3"/>
    <s v="Q1 2020"/>
    <s v="Q1 2020"/>
  </r>
  <r>
    <x v="35"/>
    <x v="0"/>
    <n v="337"/>
    <n v="7"/>
    <m/>
    <s v="GEO1002"/>
    <x v="3"/>
    <s v="Q1 2020"/>
    <s v="Q1 2020"/>
  </r>
  <r>
    <x v="35"/>
    <x v="1"/>
    <n v="332"/>
    <n v="7"/>
    <m/>
    <s v="GEO1002"/>
    <x v="3"/>
    <s v="Q2 2020"/>
    <s v="Q2 2020"/>
  </r>
  <r>
    <x v="35"/>
    <x v="2"/>
    <n v="362"/>
    <n v="7"/>
    <m/>
    <s v="GEO1002"/>
    <x v="3"/>
    <s v="Q2 2020"/>
    <s v="Q2 2020"/>
  </r>
  <r>
    <x v="35"/>
    <x v="3"/>
    <n v="213"/>
    <n v="7"/>
    <m/>
    <s v="GEO1002"/>
    <x v="3"/>
    <s v="Q2 2020"/>
    <s v="Q2 2020"/>
  </r>
  <r>
    <x v="35"/>
    <x v="4"/>
    <n v="248"/>
    <n v="7"/>
    <m/>
    <s v="GEO1002"/>
    <x v="3"/>
    <s v="Q3 2020"/>
    <s v="Q3 2020"/>
  </r>
  <r>
    <x v="35"/>
    <x v="5"/>
    <n v="156"/>
    <n v="7"/>
    <m/>
    <s v="GEO1002"/>
    <x v="3"/>
    <s v="Q3 2020"/>
    <s v="Q3 2020"/>
  </r>
  <r>
    <x v="35"/>
    <x v="6"/>
    <n v="218"/>
    <n v="7"/>
    <m/>
    <s v="GEO1002"/>
    <x v="3"/>
    <s v="Q3 2020"/>
    <s v="Q3 2020"/>
  </r>
  <r>
    <x v="35"/>
    <x v="7"/>
    <n v="182"/>
    <n v="7"/>
    <m/>
    <s v="GEO1002"/>
    <x v="3"/>
    <s v="Q4 2020"/>
    <s v="Q4 2020"/>
  </r>
  <r>
    <x v="35"/>
    <x v="8"/>
    <n v="276"/>
    <n v="7"/>
    <m/>
    <s v="GEO1002"/>
    <x v="3"/>
    <s v="Q4 2020"/>
    <s v="Q4 2020"/>
  </r>
  <r>
    <x v="35"/>
    <x v="9"/>
    <n v="218"/>
    <n v="7"/>
    <m/>
    <s v="GEO1002"/>
    <x v="3"/>
    <s v="Q4 2020"/>
    <s v="Q4 2020"/>
  </r>
  <r>
    <x v="35"/>
    <x v="10"/>
    <n v="220"/>
    <n v="7"/>
    <m/>
    <s v="GEO1002"/>
    <x v="3"/>
    <s v="Q2 2021"/>
    <s v="Q2 2021"/>
  </r>
  <r>
    <x v="35"/>
    <x v="11"/>
    <n v="370"/>
    <n v="7"/>
    <m/>
    <s v="GEO1002"/>
    <x v="3"/>
    <s v="Q2 2021"/>
    <s v="Q2 2021"/>
  </r>
  <r>
    <x v="35"/>
    <x v="12"/>
    <n v="331"/>
    <n v="7"/>
    <m/>
    <s v="GEO1002"/>
    <x v="3"/>
    <s v="Q2 2021"/>
    <s v="Q2 2021"/>
  </r>
  <r>
    <x v="35"/>
    <x v="13"/>
    <n v="332"/>
    <n v="7"/>
    <m/>
    <s v="GEO1002"/>
    <x v="3"/>
    <s v="Q1 2021"/>
    <s v="Q1 2021"/>
  </r>
  <r>
    <x v="35"/>
    <x v="14"/>
    <n v="250"/>
    <n v="7"/>
    <m/>
    <s v="GEO1002"/>
    <x v="3"/>
    <s v="Q1 2021"/>
    <s v="Q1 2021"/>
  </r>
  <r>
    <x v="35"/>
    <x v="15"/>
    <n v="289"/>
    <n v="7"/>
    <m/>
    <s v="GEO1002"/>
    <x v="3"/>
    <s v="Q1 2021"/>
    <s v="Q1 2021"/>
  </r>
  <r>
    <x v="36"/>
    <x v="16"/>
    <n v="1586"/>
    <n v="7"/>
    <m/>
    <s v="GEO1001"/>
    <x v="1"/>
    <s v="Q1 2020"/>
    <s v="Q1 2020"/>
  </r>
  <r>
    <x v="36"/>
    <x v="17"/>
    <n v="1412"/>
    <n v="7"/>
    <m/>
    <s v="GEO1001"/>
    <x v="1"/>
    <s v="Q1 2020"/>
    <s v="Q1 2020"/>
  </r>
  <r>
    <x v="36"/>
    <x v="0"/>
    <n v="1936"/>
    <n v="7"/>
    <m/>
    <s v="GEO1001"/>
    <x v="1"/>
    <s v="Q1 2020"/>
    <s v="Q1 2020"/>
  </r>
  <r>
    <x v="36"/>
    <x v="1"/>
    <n v="1939"/>
    <n v="7"/>
    <m/>
    <s v="GEO1001"/>
    <x v="1"/>
    <s v="Q2 2020"/>
    <s v="Q2 2020"/>
  </r>
  <r>
    <x v="36"/>
    <x v="2"/>
    <n v="2112"/>
    <n v="7"/>
    <m/>
    <s v="GEO1001"/>
    <x v="1"/>
    <s v="Q2 2020"/>
    <s v="Q2 2020"/>
  </r>
  <r>
    <x v="36"/>
    <x v="3"/>
    <n v="1230"/>
    <n v="7"/>
    <m/>
    <s v="GEO1001"/>
    <x v="1"/>
    <s v="Q2 2020"/>
    <s v="Q2 2020"/>
  </r>
  <r>
    <x v="36"/>
    <x v="4"/>
    <n v="1407"/>
    <n v="7"/>
    <m/>
    <s v="GEO1001"/>
    <x v="1"/>
    <s v="Q3 2020"/>
    <s v="Q3 2020"/>
  </r>
  <r>
    <x v="36"/>
    <x v="5"/>
    <n v="880"/>
    <n v="7"/>
    <m/>
    <s v="GEO1001"/>
    <x v="1"/>
    <s v="Q3 2020"/>
    <s v="Q3 2020"/>
  </r>
  <r>
    <x v="36"/>
    <x v="6"/>
    <n v="1233"/>
    <n v="7"/>
    <m/>
    <s v="GEO1001"/>
    <x v="1"/>
    <s v="Q3 2020"/>
    <s v="Q3 2020"/>
  </r>
  <r>
    <x v="36"/>
    <x v="7"/>
    <n v="1059"/>
    <n v="7"/>
    <m/>
    <s v="GEO1001"/>
    <x v="1"/>
    <s v="Q4 2020"/>
    <s v="Q4 2020"/>
  </r>
  <r>
    <x v="36"/>
    <x v="8"/>
    <n v="1586"/>
    <n v="7"/>
    <m/>
    <s v="GEO1001"/>
    <x v="1"/>
    <s v="Q4 2020"/>
    <s v="Q4 2020"/>
  </r>
  <r>
    <x v="36"/>
    <x v="9"/>
    <n v="1230"/>
    <n v="7"/>
    <m/>
    <s v="GEO1001"/>
    <x v="1"/>
    <s v="Q4 2020"/>
    <s v="Q4 2020"/>
  </r>
  <r>
    <x v="36"/>
    <x v="10"/>
    <n v="1291"/>
    <n v="7"/>
    <m/>
    <s v="GEO1001"/>
    <x v="1"/>
    <s v="Q2 2021"/>
    <s v="Q2 2021"/>
  </r>
  <r>
    <x v="36"/>
    <x v="11"/>
    <n v="2150"/>
    <n v="7"/>
    <m/>
    <s v="GEO1001"/>
    <x v="1"/>
    <s v="Q2 2021"/>
    <s v="Q2 2021"/>
  </r>
  <r>
    <x v="36"/>
    <x v="12"/>
    <n v="1991"/>
    <n v="7"/>
    <m/>
    <s v="GEO1001"/>
    <x v="1"/>
    <s v="Q2 2021"/>
    <s v="Q2 2021"/>
  </r>
  <r>
    <x v="36"/>
    <x v="13"/>
    <n v="2032"/>
    <n v="7"/>
    <m/>
    <s v="GEO1001"/>
    <x v="1"/>
    <s v="Q1 2021"/>
    <s v="Q1 2021"/>
  </r>
  <r>
    <x v="36"/>
    <x v="14"/>
    <n v="1438"/>
    <n v="7"/>
    <m/>
    <s v="GEO1001"/>
    <x v="1"/>
    <s v="Q1 2021"/>
    <s v="Q1 2021"/>
  </r>
  <r>
    <x v="36"/>
    <x v="15"/>
    <n v="1569"/>
    <n v="7"/>
    <m/>
    <s v="GEO1001"/>
    <x v="1"/>
    <s v="Q1 2021"/>
    <s v="Q1 2021"/>
  </r>
  <r>
    <x v="37"/>
    <x v="16"/>
    <n v="1211"/>
    <n v="7"/>
    <m/>
    <s v="GEO1004"/>
    <x v="0"/>
    <s v="Q1 2020"/>
    <s v="Q1 2020"/>
  </r>
  <r>
    <x v="37"/>
    <x v="17"/>
    <n v="1358"/>
    <n v="7"/>
    <m/>
    <s v="GEO1004"/>
    <x v="0"/>
    <s v="Q1 2020"/>
    <s v="Q1 2020"/>
  </r>
  <r>
    <x v="37"/>
    <x v="0"/>
    <n v="1507"/>
    <n v="7"/>
    <m/>
    <s v="GEO1004"/>
    <x v="0"/>
    <s v="Q1 2020"/>
    <s v="Q1 2020"/>
  </r>
  <r>
    <x v="37"/>
    <x v="1"/>
    <n v="1812"/>
    <n v="7"/>
    <m/>
    <s v="GEO1004"/>
    <x v="0"/>
    <s v="Q2 2020"/>
    <s v="Q2 2020"/>
  </r>
  <r>
    <x v="37"/>
    <x v="2"/>
    <n v="1663"/>
    <n v="7"/>
    <m/>
    <s v="GEO1004"/>
    <x v="0"/>
    <s v="Q2 2020"/>
    <s v="Q2 2020"/>
  </r>
  <r>
    <x v="37"/>
    <x v="3"/>
    <n v="1205"/>
    <n v="7"/>
    <m/>
    <s v="GEO1004"/>
    <x v="0"/>
    <s v="Q2 2020"/>
    <s v="Q2 2020"/>
  </r>
  <r>
    <x v="37"/>
    <x v="4"/>
    <n v="1059"/>
    <n v="7"/>
    <m/>
    <s v="GEO1004"/>
    <x v="0"/>
    <s v="Q3 2020"/>
    <s v="Q3 2020"/>
  </r>
  <r>
    <x v="37"/>
    <x v="5"/>
    <n v="910"/>
    <n v="7"/>
    <m/>
    <s v="GEO1004"/>
    <x v="0"/>
    <s v="Q3 2020"/>
    <s v="Q3 2020"/>
  </r>
  <r>
    <x v="37"/>
    <x v="6"/>
    <n v="910"/>
    <n v="7"/>
    <m/>
    <s v="GEO1004"/>
    <x v="0"/>
    <s v="Q3 2020"/>
    <s v="Q3 2020"/>
  </r>
  <r>
    <x v="37"/>
    <x v="7"/>
    <n v="1060"/>
    <n v="7"/>
    <m/>
    <s v="GEO1004"/>
    <x v="0"/>
    <s v="Q4 2020"/>
    <s v="Q4 2020"/>
  </r>
  <r>
    <x v="37"/>
    <x v="8"/>
    <n v="1205"/>
    <n v="7"/>
    <m/>
    <s v="GEO1004"/>
    <x v="0"/>
    <s v="Q4 2020"/>
    <s v="Q4 2020"/>
  </r>
  <r>
    <x v="37"/>
    <x v="9"/>
    <n v="1211"/>
    <n v="7"/>
    <m/>
    <s v="GEO1004"/>
    <x v="0"/>
    <s v="Q4 2020"/>
    <s v="Q4 2020"/>
  </r>
  <r>
    <x v="37"/>
    <x v="10"/>
    <n v="1193"/>
    <n v="7"/>
    <m/>
    <s v="GEO1004"/>
    <x v="0"/>
    <s v="Q2 2021"/>
    <s v="Q2 2021"/>
  </r>
  <r>
    <x v="37"/>
    <x v="11"/>
    <n v="1694"/>
    <n v="7"/>
    <m/>
    <s v="GEO1004"/>
    <x v="0"/>
    <s v="Q2 2021"/>
    <s v="Q2 2021"/>
  </r>
  <r>
    <x v="37"/>
    <x v="12"/>
    <n v="1791"/>
    <n v="7"/>
    <m/>
    <s v="GEO1004"/>
    <x v="0"/>
    <s v="Q2 2021"/>
    <s v="Q2 2021"/>
  </r>
  <r>
    <x v="37"/>
    <x v="13"/>
    <n v="1568"/>
    <n v="7"/>
    <m/>
    <s v="GEO1004"/>
    <x v="0"/>
    <s v="Q1 2021"/>
    <s v="Q1 2021"/>
  </r>
  <r>
    <x v="37"/>
    <x v="14"/>
    <n v="1399"/>
    <n v="7"/>
    <m/>
    <s v="GEO1004"/>
    <x v="0"/>
    <s v="Q1 2021"/>
    <s v="Q1 2021"/>
  </r>
  <r>
    <x v="37"/>
    <x v="15"/>
    <n v="1255"/>
    <n v="7"/>
    <m/>
    <s v="GEO1004"/>
    <x v="0"/>
    <s v="Q1 2021"/>
    <s v="Q1 2021"/>
  </r>
  <r>
    <x v="38"/>
    <x v="16"/>
    <n v="53"/>
    <n v="7"/>
    <m/>
    <s v="GEO1002"/>
    <x v="3"/>
    <s v="Q1 2020"/>
    <s v="Q1 2020"/>
  </r>
  <r>
    <x v="38"/>
    <x v="17"/>
    <n v="40"/>
    <n v="7"/>
    <m/>
    <s v="GEO1002"/>
    <x v="3"/>
    <s v="Q1 2020"/>
    <s v="Q1 2020"/>
  </r>
  <r>
    <x v="38"/>
    <x v="0"/>
    <n v="65"/>
    <n v="7"/>
    <m/>
    <s v="GEO1002"/>
    <x v="3"/>
    <s v="Q1 2020"/>
    <s v="Q1 2020"/>
  </r>
  <r>
    <x v="38"/>
    <x v="1"/>
    <n v="56"/>
    <n v="7"/>
    <m/>
    <s v="GEO1002"/>
    <x v="3"/>
    <s v="Q2 2020"/>
    <s v="Q2 2020"/>
  </r>
  <r>
    <x v="38"/>
    <x v="2"/>
    <n v="65"/>
    <n v="7"/>
    <m/>
    <s v="GEO1002"/>
    <x v="3"/>
    <s v="Q2 2020"/>
    <s v="Q2 2020"/>
  </r>
  <r>
    <x v="38"/>
    <x v="3"/>
    <n v="34"/>
    <n v="7"/>
    <m/>
    <s v="GEO1002"/>
    <x v="3"/>
    <s v="Q2 2020"/>
    <s v="Q2 2020"/>
  </r>
  <r>
    <x v="38"/>
    <x v="4"/>
    <n v="50"/>
    <n v="7"/>
    <m/>
    <s v="GEO1002"/>
    <x v="3"/>
    <s v="Q3 2020"/>
    <s v="Q3 2020"/>
  </r>
  <r>
    <x v="38"/>
    <x v="5"/>
    <n v="26"/>
    <n v="7"/>
    <m/>
    <s v="GEO1002"/>
    <x v="3"/>
    <s v="Q3 2020"/>
    <s v="Q3 2020"/>
  </r>
  <r>
    <x v="38"/>
    <x v="6"/>
    <n v="43"/>
    <n v="7"/>
    <m/>
    <s v="GEO1002"/>
    <x v="3"/>
    <s v="Q3 2020"/>
    <s v="Q3 2020"/>
  </r>
  <r>
    <x v="38"/>
    <x v="7"/>
    <n v="32"/>
    <n v="7"/>
    <m/>
    <s v="GEO1002"/>
    <x v="3"/>
    <s v="Q4 2020"/>
    <s v="Q4 2020"/>
  </r>
  <r>
    <x v="38"/>
    <x v="8"/>
    <n v="54"/>
    <n v="7"/>
    <m/>
    <s v="GEO1002"/>
    <x v="3"/>
    <s v="Q4 2020"/>
    <s v="Q4 2020"/>
  </r>
  <r>
    <x v="38"/>
    <x v="9"/>
    <n v="38"/>
    <n v="7"/>
    <m/>
    <s v="GEO1002"/>
    <x v="3"/>
    <s v="Q4 2020"/>
    <s v="Q4 2020"/>
  </r>
  <r>
    <x v="38"/>
    <x v="10"/>
    <n v="38"/>
    <n v="7"/>
    <m/>
    <s v="GEO1002"/>
    <x v="3"/>
    <s v="Q2 2021"/>
    <s v="Q2 2021"/>
  </r>
  <r>
    <x v="38"/>
    <x v="11"/>
    <n v="71"/>
    <n v="7"/>
    <m/>
    <s v="GEO1002"/>
    <x v="3"/>
    <s v="Q2 2021"/>
    <s v="Q2 2021"/>
  </r>
  <r>
    <x v="38"/>
    <x v="12"/>
    <n v="60"/>
    <n v="7"/>
    <m/>
    <s v="GEO1002"/>
    <x v="3"/>
    <s v="Q2 2021"/>
    <s v="Q2 2021"/>
  </r>
  <r>
    <x v="38"/>
    <x v="13"/>
    <n v="65"/>
    <n v="7"/>
    <m/>
    <s v="GEO1002"/>
    <x v="3"/>
    <s v="Q1 2021"/>
    <s v="Q1 2021"/>
  </r>
  <r>
    <x v="38"/>
    <x v="14"/>
    <n v="45"/>
    <n v="7"/>
    <m/>
    <s v="GEO1002"/>
    <x v="3"/>
    <s v="Q1 2021"/>
    <s v="Q1 2021"/>
  </r>
  <r>
    <x v="38"/>
    <x v="15"/>
    <n v="56"/>
    <n v="7"/>
    <m/>
    <s v="GEO1002"/>
    <x v="3"/>
    <s v="Q1 2021"/>
    <s v="Q1 2021"/>
  </r>
  <r>
    <x v="39"/>
    <x v="16"/>
    <n v="1283"/>
    <n v="7"/>
    <m/>
    <s v="GEO1001"/>
    <x v="1"/>
    <s v="Q1 2020"/>
    <s v="Q1 2020"/>
  </r>
  <r>
    <x v="39"/>
    <x v="17"/>
    <n v="1622"/>
    <n v="7"/>
    <m/>
    <s v="GEO1001"/>
    <x v="1"/>
    <s v="Q1 2020"/>
    <s v="Q1 2020"/>
  </r>
  <r>
    <x v="39"/>
    <x v="0"/>
    <n v="1628"/>
    <n v="7"/>
    <m/>
    <s v="GEO1001"/>
    <x v="1"/>
    <s v="Q1 2020"/>
    <s v="Q1 2020"/>
  </r>
  <r>
    <x v="39"/>
    <x v="1"/>
    <n v="2137"/>
    <n v="7"/>
    <m/>
    <s v="GEO1001"/>
    <x v="1"/>
    <s v="Q2 2020"/>
    <s v="Q2 2020"/>
  </r>
  <r>
    <x v="39"/>
    <x v="2"/>
    <n v="1795"/>
    <n v="7"/>
    <m/>
    <s v="GEO1001"/>
    <x v="1"/>
    <s v="Q2 2020"/>
    <s v="Q2 2020"/>
  </r>
  <r>
    <x v="39"/>
    <x v="3"/>
    <n v="1456"/>
    <n v="7"/>
    <m/>
    <s v="GEO1001"/>
    <x v="1"/>
    <s v="Q2 2020"/>
    <s v="Q2 2020"/>
  </r>
  <r>
    <x v="39"/>
    <x v="4"/>
    <n v="1112"/>
    <n v="7"/>
    <m/>
    <s v="GEO1001"/>
    <x v="1"/>
    <s v="Q3 2020"/>
    <s v="Q3 2020"/>
  </r>
  <r>
    <x v="39"/>
    <x v="5"/>
    <n v="1116"/>
    <n v="7"/>
    <m/>
    <s v="GEO1001"/>
    <x v="1"/>
    <s v="Q3 2020"/>
    <s v="Q3 2020"/>
  </r>
  <r>
    <x v="39"/>
    <x v="6"/>
    <n v="939"/>
    <n v="7"/>
    <m/>
    <s v="GEO1001"/>
    <x v="1"/>
    <s v="Q3 2020"/>
    <s v="Q3 2020"/>
  </r>
  <r>
    <x v="39"/>
    <x v="7"/>
    <n v="1282"/>
    <n v="7"/>
    <m/>
    <s v="GEO1001"/>
    <x v="1"/>
    <s v="Q4 2020"/>
    <s v="Q4 2020"/>
  </r>
  <r>
    <x v="39"/>
    <x v="8"/>
    <n v="1285"/>
    <n v="7"/>
    <m/>
    <s v="GEO1001"/>
    <x v="1"/>
    <s v="Q4 2020"/>
    <s v="Q4 2020"/>
  </r>
  <r>
    <x v="39"/>
    <x v="9"/>
    <n v="1452"/>
    <n v="7"/>
    <m/>
    <s v="GEO1001"/>
    <x v="1"/>
    <s v="Q4 2020"/>
    <s v="Q4 2020"/>
  </r>
  <r>
    <x v="39"/>
    <x v="10"/>
    <n v="1480"/>
    <n v="7"/>
    <m/>
    <s v="GEO1001"/>
    <x v="1"/>
    <s v="Q2 2021"/>
    <s v="Q2 2021"/>
  </r>
  <r>
    <x v="39"/>
    <x v="11"/>
    <n v="1869"/>
    <n v="7"/>
    <m/>
    <s v="GEO1001"/>
    <x v="1"/>
    <s v="Q2 2021"/>
    <s v="Q2 2021"/>
  </r>
  <r>
    <x v="39"/>
    <x v="12"/>
    <n v="2242"/>
    <n v="7"/>
    <m/>
    <s v="GEO1001"/>
    <x v="1"/>
    <s v="Q2 2021"/>
    <s v="Q2 2021"/>
  </r>
  <r>
    <x v="39"/>
    <x v="13"/>
    <n v="1655"/>
    <n v="7"/>
    <m/>
    <s v="GEO1001"/>
    <x v="1"/>
    <s v="Q1 2021"/>
    <s v="Q1 2021"/>
  </r>
  <r>
    <x v="39"/>
    <x v="14"/>
    <n v="1693"/>
    <n v="7"/>
    <m/>
    <s v="GEO1001"/>
    <x v="1"/>
    <s v="Q1 2021"/>
    <s v="Q1 2021"/>
  </r>
  <r>
    <x v="39"/>
    <x v="15"/>
    <n v="1275"/>
    <n v="7"/>
    <m/>
    <s v="GEO1001"/>
    <x v="1"/>
    <s v="Q1 2021"/>
    <s v="Q1 2021"/>
  </r>
  <r>
    <x v="40"/>
    <x v="16"/>
    <n v="1207"/>
    <n v="7"/>
    <m/>
    <s v="GEO1002"/>
    <x v="3"/>
    <s v="Q1 2020"/>
    <s v="Q1 2020"/>
  </r>
  <r>
    <x v="40"/>
    <x v="17"/>
    <n v="1530"/>
    <n v="7"/>
    <m/>
    <s v="GEO1002"/>
    <x v="3"/>
    <s v="Q1 2020"/>
    <s v="Q1 2020"/>
  </r>
  <r>
    <x v="40"/>
    <x v="0"/>
    <n v="1532"/>
    <n v="7"/>
    <m/>
    <s v="GEO1002"/>
    <x v="3"/>
    <s v="Q1 2020"/>
    <s v="Q1 2020"/>
  </r>
  <r>
    <x v="40"/>
    <x v="1"/>
    <n v="2014"/>
    <n v="7"/>
    <m/>
    <s v="GEO1002"/>
    <x v="3"/>
    <s v="Q2 2020"/>
    <s v="Q2 2020"/>
  </r>
  <r>
    <x v="40"/>
    <x v="2"/>
    <n v="1688"/>
    <n v="7"/>
    <m/>
    <s v="GEO1002"/>
    <x v="3"/>
    <s v="Q2 2020"/>
    <s v="Q2 2020"/>
  </r>
  <r>
    <x v="40"/>
    <x v="3"/>
    <n v="1368"/>
    <n v="7"/>
    <m/>
    <s v="GEO1002"/>
    <x v="3"/>
    <s v="Q2 2020"/>
    <s v="Q2 2020"/>
  </r>
  <r>
    <x v="40"/>
    <x v="4"/>
    <n v="1047"/>
    <n v="7"/>
    <m/>
    <s v="GEO1002"/>
    <x v="3"/>
    <s v="Q3 2020"/>
    <s v="Q3 2020"/>
  </r>
  <r>
    <x v="40"/>
    <x v="5"/>
    <n v="1050"/>
    <n v="7"/>
    <m/>
    <s v="GEO1002"/>
    <x v="3"/>
    <s v="Q3 2020"/>
    <s v="Q3 2020"/>
  </r>
  <r>
    <x v="40"/>
    <x v="6"/>
    <n v="890"/>
    <n v="7"/>
    <m/>
    <s v="GEO1002"/>
    <x v="3"/>
    <s v="Q3 2020"/>
    <s v="Q3 2020"/>
  </r>
  <r>
    <x v="40"/>
    <x v="7"/>
    <n v="1208"/>
    <n v="7"/>
    <m/>
    <s v="GEO1002"/>
    <x v="3"/>
    <s v="Q4 2020"/>
    <s v="Q4 2020"/>
  </r>
  <r>
    <x v="40"/>
    <x v="8"/>
    <n v="1205"/>
    <n v="7"/>
    <m/>
    <s v="GEO1002"/>
    <x v="3"/>
    <s v="Q4 2020"/>
    <s v="Q4 2020"/>
  </r>
  <r>
    <x v="40"/>
    <x v="9"/>
    <n v="1366"/>
    <n v="7"/>
    <m/>
    <s v="GEO1002"/>
    <x v="3"/>
    <s v="Q4 2020"/>
    <s v="Q4 2020"/>
  </r>
  <r>
    <x v="40"/>
    <x v="10"/>
    <n v="1397"/>
    <n v="7"/>
    <m/>
    <s v="GEO1002"/>
    <x v="3"/>
    <s v="Q2 2021"/>
    <s v="Q2 2021"/>
  </r>
  <r>
    <x v="40"/>
    <x v="11"/>
    <n v="1757"/>
    <n v="7"/>
    <m/>
    <s v="GEO1002"/>
    <x v="3"/>
    <s v="Q2 2021"/>
    <s v="Q2 2021"/>
  </r>
  <r>
    <x v="40"/>
    <x v="12"/>
    <n v="2092"/>
    <n v="7"/>
    <m/>
    <s v="GEO1002"/>
    <x v="3"/>
    <s v="Q2 2021"/>
    <s v="Q2 2021"/>
  </r>
  <r>
    <x v="40"/>
    <x v="13"/>
    <n v="1544"/>
    <n v="7"/>
    <m/>
    <s v="GEO1002"/>
    <x v="3"/>
    <s v="Q1 2021"/>
    <s v="Q1 2021"/>
  </r>
  <r>
    <x v="40"/>
    <x v="14"/>
    <n v="1547"/>
    <n v="7"/>
    <m/>
    <s v="GEO1002"/>
    <x v="3"/>
    <s v="Q1 2021"/>
    <s v="Q1 2021"/>
  </r>
  <r>
    <x v="40"/>
    <x v="15"/>
    <n v="1265"/>
    <n v="7"/>
    <m/>
    <s v="GEO1002"/>
    <x v="3"/>
    <s v="Q1 2021"/>
    <s v="Q1 2021"/>
  </r>
  <r>
    <x v="41"/>
    <x v="16"/>
    <n v="3405"/>
    <n v="7"/>
    <m/>
    <s v="GEO1004"/>
    <x v="0"/>
    <s v="Q1 2020"/>
    <s v="Q1 2020"/>
  </r>
  <r>
    <x v="41"/>
    <x v="17"/>
    <n v="3827"/>
    <n v="7"/>
    <m/>
    <s v="GEO1004"/>
    <x v="0"/>
    <s v="Q1 2020"/>
    <s v="Q1 2020"/>
  </r>
  <r>
    <x v="41"/>
    <x v="0"/>
    <n v="4248"/>
    <n v="7"/>
    <m/>
    <s v="GEO1004"/>
    <x v="0"/>
    <s v="Q1 2020"/>
    <s v="Q1 2020"/>
  </r>
  <r>
    <x v="41"/>
    <x v="1"/>
    <n v="5101"/>
    <n v="7"/>
    <m/>
    <s v="GEO1004"/>
    <x v="0"/>
    <s v="Q2 2020"/>
    <s v="Q2 2020"/>
  </r>
  <r>
    <x v="41"/>
    <x v="2"/>
    <n v="4675"/>
    <n v="7"/>
    <m/>
    <s v="GEO1004"/>
    <x v="0"/>
    <s v="Q2 2020"/>
    <s v="Q2 2020"/>
  </r>
  <r>
    <x v="41"/>
    <x v="3"/>
    <n v="3400"/>
    <n v="7"/>
    <m/>
    <s v="GEO1004"/>
    <x v="0"/>
    <s v="Q2 2020"/>
    <s v="Q2 2020"/>
  </r>
  <r>
    <x v="41"/>
    <x v="4"/>
    <n v="2976"/>
    <n v="7"/>
    <m/>
    <s v="GEO1004"/>
    <x v="0"/>
    <s v="Q3 2020"/>
    <s v="Q3 2020"/>
  </r>
  <r>
    <x v="41"/>
    <x v="5"/>
    <n v="2552"/>
    <n v="7"/>
    <m/>
    <s v="GEO1004"/>
    <x v="0"/>
    <s v="Q3 2020"/>
    <s v="Q3 2020"/>
  </r>
  <r>
    <x v="41"/>
    <x v="6"/>
    <n v="2550"/>
    <n v="7"/>
    <m/>
    <s v="GEO1004"/>
    <x v="0"/>
    <s v="Q3 2020"/>
    <s v="Q3 2020"/>
  </r>
  <r>
    <x v="41"/>
    <x v="7"/>
    <n v="2975"/>
    <n v="7"/>
    <m/>
    <s v="GEO1004"/>
    <x v="0"/>
    <s v="Q4 2020"/>
    <s v="Q4 2020"/>
  </r>
  <r>
    <x v="41"/>
    <x v="8"/>
    <n v="3399"/>
    <n v="7"/>
    <m/>
    <s v="GEO1004"/>
    <x v="0"/>
    <s v="Q4 2020"/>
    <s v="Q4 2020"/>
  </r>
  <r>
    <x v="41"/>
    <x v="9"/>
    <n v="3404"/>
    <n v="7"/>
    <m/>
    <s v="GEO1004"/>
    <x v="0"/>
    <s v="Q4 2020"/>
    <s v="Q4 2020"/>
  </r>
  <r>
    <x v="41"/>
    <x v="10"/>
    <n v="3501"/>
    <n v="7"/>
    <m/>
    <s v="GEO1004"/>
    <x v="0"/>
    <s v="Q2 2021"/>
    <s v="Q2 2021"/>
  </r>
  <r>
    <x v="41"/>
    <x v="11"/>
    <n v="4768"/>
    <n v="7"/>
    <m/>
    <s v="GEO1004"/>
    <x v="0"/>
    <s v="Q2 2021"/>
    <s v="Q2 2021"/>
  </r>
  <r>
    <x v="41"/>
    <x v="12"/>
    <n v="5254"/>
    <n v="7"/>
    <m/>
    <s v="GEO1004"/>
    <x v="0"/>
    <s v="Q2 2021"/>
    <s v="Q2 2021"/>
  </r>
  <r>
    <x v="41"/>
    <x v="13"/>
    <n v="4212"/>
    <n v="7"/>
    <m/>
    <s v="GEO1004"/>
    <x v="0"/>
    <s v="Q1 2021"/>
    <s v="Q1 2021"/>
  </r>
  <r>
    <x v="41"/>
    <x v="14"/>
    <n v="3808"/>
    <n v="7"/>
    <m/>
    <s v="GEO1004"/>
    <x v="0"/>
    <s v="Q1 2021"/>
    <s v="Q1 2021"/>
  </r>
  <r>
    <x v="41"/>
    <x v="15"/>
    <n v="3575"/>
    <n v="7"/>
    <m/>
    <s v="GEO1004"/>
    <x v="0"/>
    <s v="Q1 2021"/>
    <s v="Q1 2021"/>
  </r>
  <r>
    <x v="42"/>
    <x v="16"/>
    <n v="627"/>
    <n v="7"/>
    <m/>
    <s v="GEO1003"/>
    <x v="2"/>
    <s v="Q1 2020"/>
    <s v="Q1 2020"/>
  </r>
  <r>
    <x v="42"/>
    <x v="17"/>
    <n v="495"/>
    <n v="7"/>
    <m/>
    <s v="GEO1003"/>
    <x v="2"/>
    <s v="Q1 2020"/>
    <s v="Q1 2020"/>
  </r>
  <r>
    <x v="42"/>
    <x v="0"/>
    <n v="755"/>
    <n v="7"/>
    <m/>
    <s v="GEO1003"/>
    <x v="2"/>
    <s v="Q1 2020"/>
    <s v="Q1 2020"/>
  </r>
  <r>
    <x v="42"/>
    <x v="1"/>
    <n v="689"/>
    <n v="7"/>
    <m/>
    <s v="GEO1003"/>
    <x v="2"/>
    <s v="Q2 2020"/>
    <s v="Q2 2020"/>
  </r>
  <r>
    <x v="42"/>
    <x v="2"/>
    <n v="817"/>
    <n v="7"/>
    <m/>
    <s v="GEO1003"/>
    <x v="2"/>
    <s v="Q2 2020"/>
    <s v="Q2 2020"/>
  </r>
  <r>
    <x v="42"/>
    <x v="3"/>
    <n v="426"/>
    <n v="7"/>
    <m/>
    <s v="GEO1003"/>
    <x v="2"/>
    <s v="Q2 2020"/>
    <s v="Q2 2020"/>
  </r>
  <r>
    <x v="42"/>
    <x v="4"/>
    <n v="559"/>
    <n v="7"/>
    <m/>
    <s v="GEO1003"/>
    <x v="2"/>
    <s v="Q3 2020"/>
    <s v="Q3 2020"/>
  </r>
  <r>
    <x v="42"/>
    <x v="5"/>
    <n v="300"/>
    <n v="7"/>
    <m/>
    <s v="GEO1003"/>
    <x v="2"/>
    <s v="Q3 2020"/>
    <s v="Q3 2020"/>
  </r>
  <r>
    <x v="42"/>
    <x v="6"/>
    <n v="493"/>
    <n v="7"/>
    <m/>
    <s v="GEO1003"/>
    <x v="2"/>
    <s v="Q3 2020"/>
    <s v="Q3 2020"/>
  </r>
  <r>
    <x v="42"/>
    <x v="7"/>
    <n v="364"/>
    <n v="7"/>
    <m/>
    <s v="GEO1003"/>
    <x v="2"/>
    <s v="Q4 2020"/>
    <s v="Q4 2020"/>
  </r>
  <r>
    <x v="42"/>
    <x v="8"/>
    <n v="627"/>
    <n v="7"/>
    <m/>
    <s v="GEO1003"/>
    <x v="2"/>
    <s v="Q4 2020"/>
    <s v="Q4 2020"/>
  </r>
  <r>
    <x v="42"/>
    <x v="9"/>
    <n v="429"/>
    <n v="7"/>
    <m/>
    <s v="GEO1003"/>
    <x v="2"/>
    <s v="Q4 2020"/>
    <s v="Q4 2020"/>
  </r>
  <r>
    <x v="42"/>
    <x v="10"/>
    <n v="441"/>
    <n v="7"/>
    <m/>
    <s v="GEO1003"/>
    <x v="2"/>
    <s v="Q2 2021"/>
    <s v="Q2 2021"/>
  </r>
  <r>
    <x v="42"/>
    <x v="11"/>
    <n v="813"/>
    <n v="7"/>
    <m/>
    <s v="GEO1003"/>
    <x v="2"/>
    <s v="Q2 2021"/>
    <s v="Q2 2021"/>
  </r>
  <r>
    <x v="42"/>
    <x v="12"/>
    <n v="689"/>
    <n v="7"/>
    <m/>
    <s v="GEO1003"/>
    <x v="2"/>
    <s v="Q2 2021"/>
    <s v="Q2 2021"/>
  </r>
  <r>
    <x v="42"/>
    <x v="13"/>
    <n v="769"/>
    <n v="7"/>
    <m/>
    <s v="GEO1003"/>
    <x v="2"/>
    <s v="Q1 2021"/>
    <s v="Q1 2021"/>
  </r>
  <r>
    <x v="42"/>
    <x v="14"/>
    <n v="504"/>
    <n v="7"/>
    <m/>
    <s v="GEO1003"/>
    <x v="2"/>
    <s v="Q1 2021"/>
    <s v="Q1 2021"/>
  </r>
  <r>
    <x v="42"/>
    <x v="15"/>
    <n v="618"/>
    <n v="7"/>
    <m/>
    <s v="GEO1003"/>
    <x v="2"/>
    <s v="Q1 2021"/>
    <s v="Q1 2021"/>
  </r>
  <r>
    <x v="43"/>
    <x v="16"/>
    <n v="19825"/>
    <n v="7"/>
    <m/>
    <s v="GEO1003"/>
    <x v="2"/>
    <s v="Q1 2020"/>
    <s v="Q1 2020"/>
  </r>
  <r>
    <x v="43"/>
    <x v="17"/>
    <n v="28323"/>
    <n v="7"/>
    <m/>
    <s v="GEO1003"/>
    <x v="2"/>
    <s v="Q1 2020"/>
    <s v="Q1 2020"/>
  </r>
  <r>
    <x v="43"/>
    <x v="0"/>
    <n v="25490"/>
    <n v="7"/>
    <m/>
    <s v="GEO1003"/>
    <x v="2"/>
    <s v="Q1 2020"/>
    <s v="Q1 2020"/>
  </r>
  <r>
    <x v="43"/>
    <x v="1"/>
    <n v="36816"/>
    <n v="7"/>
    <m/>
    <s v="GEO1003"/>
    <x v="2"/>
    <s v="Q2 2020"/>
    <s v="Q2 2020"/>
  </r>
  <r>
    <x v="43"/>
    <x v="2"/>
    <n v="28322"/>
    <n v="7"/>
    <m/>
    <s v="GEO1003"/>
    <x v="2"/>
    <s v="Q2 2020"/>
    <s v="Q2 2020"/>
  </r>
  <r>
    <x v="43"/>
    <x v="3"/>
    <n v="25486"/>
    <n v="7"/>
    <m/>
    <s v="GEO1003"/>
    <x v="2"/>
    <s v="Q2 2020"/>
    <s v="Q2 2020"/>
  </r>
  <r>
    <x v="43"/>
    <x v="4"/>
    <n v="16995"/>
    <n v="7"/>
    <m/>
    <s v="GEO1003"/>
    <x v="2"/>
    <s v="Q3 2020"/>
    <s v="Q3 2020"/>
  </r>
  <r>
    <x v="43"/>
    <x v="5"/>
    <n v="19826"/>
    <n v="7"/>
    <m/>
    <s v="GEO1003"/>
    <x v="2"/>
    <s v="Q3 2020"/>
    <s v="Q3 2020"/>
  </r>
  <r>
    <x v="43"/>
    <x v="6"/>
    <n v="14163"/>
    <n v="7"/>
    <m/>
    <s v="GEO1003"/>
    <x v="2"/>
    <s v="Q3 2020"/>
    <s v="Q3 2020"/>
  </r>
  <r>
    <x v="43"/>
    <x v="7"/>
    <n v="22655"/>
    <n v="7"/>
    <m/>
    <s v="GEO1003"/>
    <x v="2"/>
    <s v="Q4 2020"/>
    <s v="Q4 2020"/>
  </r>
  <r>
    <x v="43"/>
    <x v="8"/>
    <n v="19822"/>
    <n v="7"/>
    <m/>
    <s v="GEO1003"/>
    <x v="2"/>
    <s v="Q4 2020"/>
    <s v="Q4 2020"/>
  </r>
  <r>
    <x v="43"/>
    <x v="9"/>
    <n v="25485"/>
    <n v="7"/>
    <m/>
    <s v="GEO1003"/>
    <x v="2"/>
    <s v="Q4 2020"/>
    <s v="Q4 2020"/>
  </r>
  <r>
    <x v="43"/>
    <x v="10"/>
    <n v="26509"/>
    <n v="7"/>
    <m/>
    <s v="GEO1003"/>
    <x v="2"/>
    <s v="Q2 2021"/>
    <s v="Q2 2021"/>
  </r>
  <r>
    <x v="43"/>
    <x v="11"/>
    <n v="28176"/>
    <n v="7"/>
    <m/>
    <s v="GEO1003"/>
    <x v="2"/>
    <s v="Q2 2021"/>
    <s v="Q2 2021"/>
  </r>
  <r>
    <x v="43"/>
    <x v="12"/>
    <n v="37182"/>
    <n v="7"/>
    <m/>
    <s v="GEO1003"/>
    <x v="2"/>
    <s v="Q2 2021"/>
    <s v="Q2 2021"/>
  </r>
  <r>
    <x v="43"/>
    <x v="13"/>
    <n v="25741"/>
    <n v="7"/>
    <m/>
    <s v="GEO1003"/>
    <x v="2"/>
    <s v="Q1 2021"/>
    <s v="Q1 2021"/>
  </r>
  <r>
    <x v="43"/>
    <x v="14"/>
    <n v="28605"/>
    <n v="7"/>
    <m/>
    <s v="GEO1003"/>
    <x v="2"/>
    <s v="Q1 2021"/>
    <s v="Q1 2021"/>
  </r>
  <r>
    <x v="43"/>
    <x v="15"/>
    <n v="20218"/>
    <n v="7"/>
    <m/>
    <s v="GEO1003"/>
    <x v="2"/>
    <s v="Q1 2021"/>
    <s v="Q1 2021"/>
  </r>
  <r>
    <x v="44"/>
    <x v="16"/>
    <n v="967"/>
    <n v="7"/>
    <m/>
    <s v="GEO1003"/>
    <x v="2"/>
    <s v="Q1 2020"/>
    <s v="Q1 2020"/>
  </r>
  <r>
    <x v="44"/>
    <x v="17"/>
    <n v="1088"/>
    <n v="7"/>
    <m/>
    <s v="GEO1003"/>
    <x v="2"/>
    <s v="Q1 2020"/>
    <s v="Q1 2020"/>
  </r>
  <r>
    <x v="44"/>
    <x v="0"/>
    <n v="1209"/>
    <n v="7"/>
    <m/>
    <s v="GEO1003"/>
    <x v="2"/>
    <s v="Q1 2020"/>
    <s v="Q1 2020"/>
  </r>
  <r>
    <x v="44"/>
    <x v="1"/>
    <n v="1449"/>
    <n v="7"/>
    <m/>
    <s v="GEO1003"/>
    <x v="2"/>
    <s v="Q2 2020"/>
    <s v="Q2 2020"/>
  </r>
  <r>
    <x v="44"/>
    <x v="2"/>
    <n v="1327"/>
    <n v="7"/>
    <m/>
    <s v="GEO1003"/>
    <x v="2"/>
    <s v="Q2 2020"/>
    <s v="Q2 2020"/>
  </r>
  <r>
    <x v="44"/>
    <x v="3"/>
    <n v="964"/>
    <n v="7"/>
    <m/>
    <s v="GEO1003"/>
    <x v="2"/>
    <s v="Q2 2020"/>
    <s v="Q2 2020"/>
  </r>
  <r>
    <x v="44"/>
    <x v="4"/>
    <n v="844"/>
    <n v="7"/>
    <m/>
    <s v="GEO1003"/>
    <x v="2"/>
    <s v="Q3 2020"/>
    <s v="Q3 2020"/>
  </r>
  <r>
    <x v="44"/>
    <x v="5"/>
    <n v="728"/>
    <n v="7"/>
    <m/>
    <s v="GEO1003"/>
    <x v="2"/>
    <s v="Q3 2020"/>
    <s v="Q3 2020"/>
  </r>
  <r>
    <x v="44"/>
    <x v="6"/>
    <n v="729"/>
    <n v="7"/>
    <m/>
    <s v="GEO1003"/>
    <x v="2"/>
    <s v="Q3 2020"/>
    <s v="Q3 2020"/>
  </r>
  <r>
    <x v="44"/>
    <x v="7"/>
    <n v="849"/>
    <n v="7"/>
    <m/>
    <s v="GEO1003"/>
    <x v="2"/>
    <s v="Q4 2020"/>
    <s v="Q4 2020"/>
  </r>
  <r>
    <x v="44"/>
    <x v="8"/>
    <n v="970"/>
    <n v="7"/>
    <m/>
    <s v="GEO1003"/>
    <x v="2"/>
    <s v="Q4 2020"/>
    <s v="Q4 2020"/>
  </r>
  <r>
    <x v="44"/>
    <x v="9"/>
    <n v="965"/>
    <n v="7"/>
    <m/>
    <s v="GEO1003"/>
    <x v="2"/>
    <s v="Q4 2020"/>
    <s v="Q4 2020"/>
  </r>
  <r>
    <x v="44"/>
    <x v="10"/>
    <n v="985"/>
    <n v="7"/>
    <m/>
    <s v="GEO1003"/>
    <x v="2"/>
    <s v="Q2 2021"/>
    <s v="Q2 2021"/>
  </r>
  <r>
    <x v="44"/>
    <x v="11"/>
    <n v="1318"/>
    <n v="7"/>
    <m/>
    <s v="GEO1003"/>
    <x v="2"/>
    <s v="Q2 2021"/>
    <s v="Q2 2021"/>
  </r>
  <r>
    <x v="44"/>
    <x v="12"/>
    <n v="1435"/>
    <n v="7"/>
    <m/>
    <s v="GEO1003"/>
    <x v="2"/>
    <s v="Q2 2021"/>
    <s v="Q2 2021"/>
  </r>
  <r>
    <x v="44"/>
    <x v="13"/>
    <n v="1221"/>
    <n v="7"/>
    <m/>
    <s v="GEO1003"/>
    <x v="2"/>
    <s v="Q1 2021"/>
    <s v="Q1 2021"/>
  </r>
  <r>
    <x v="44"/>
    <x v="14"/>
    <n v="1076"/>
    <n v="7"/>
    <m/>
    <s v="GEO1003"/>
    <x v="2"/>
    <s v="Q1 2021"/>
    <s v="Q1 2021"/>
  </r>
  <r>
    <x v="44"/>
    <x v="15"/>
    <n v="998"/>
    <n v="7"/>
    <m/>
    <s v="GEO1003"/>
    <x v="2"/>
    <s v="Q1 2021"/>
    <s v="Q1 2021"/>
  </r>
  <r>
    <x v="45"/>
    <x v="16"/>
    <n v="82"/>
    <n v="7"/>
    <m/>
    <s v="GEO1003"/>
    <x v="2"/>
    <s v="Q1 2020"/>
    <s v="Q1 2020"/>
  </r>
  <r>
    <x v="45"/>
    <x v="17"/>
    <n v="101"/>
    <n v="7"/>
    <m/>
    <s v="GEO1003"/>
    <x v="2"/>
    <s v="Q1 2020"/>
    <s v="Q1 2020"/>
  </r>
  <r>
    <x v="45"/>
    <x v="0"/>
    <n v="102"/>
    <n v="7"/>
    <m/>
    <s v="GEO1003"/>
    <x v="2"/>
    <s v="Q1 2020"/>
    <s v="Q1 2020"/>
  </r>
  <r>
    <x v="45"/>
    <x v="1"/>
    <n v="126"/>
    <n v="7"/>
    <m/>
    <s v="GEO1003"/>
    <x v="2"/>
    <s v="Q2 2020"/>
    <s v="Q2 2020"/>
  </r>
  <r>
    <x v="45"/>
    <x v="2"/>
    <n v="108"/>
    <n v="7"/>
    <m/>
    <s v="GEO1003"/>
    <x v="2"/>
    <s v="Q2 2020"/>
    <s v="Q2 2020"/>
  </r>
  <r>
    <x v="45"/>
    <x v="3"/>
    <n v="88"/>
    <n v="7"/>
    <m/>
    <s v="GEO1003"/>
    <x v="2"/>
    <s v="Q2 2020"/>
    <s v="Q2 2020"/>
  </r>
  <r>
    <x v="45"/>
    <x v="4"/>
    <n v="68"/>
    <n v="7"/>
    <m/>
    <s v="GEO1003"/>
    <x v="2"/>
    <s v="Q3 2020"/>
    <s v="Q3 2020"/>
  </r>
  <r>
    <x v="45"/>
    <x v="5"/>
    <n v="70"/>
    <n v="7"/>
    <m/>
    <s v="GEO1003"/>
    <x v="2"/>
    <s v="Q3 2020"/>
    <s v="Q3 2020"/>
  </r>
  <r>
    <x v="45"/>
    <x v="6"/>
    <n v="58"/>
    <n v="7"/>
    <m/>
    <s v="GEO1003"/>
    <x v="2"/>
    <s v="Q3 2020"/>
    <s v="Q3 2020"/>
  </r>
  <r>
    <x v="45"/>
    <x v="7"/>
    <n v="76"/>
    <n v="7"/>
    <m/>
    <s v="GEO1003"/>
    <x v="2"/>
    <s v="Q4 2020"/>
    <s v="Q4 2020"/>
  </r>
  <r>
    <x v="45"/>
    <x v="8"/>
    <n v="81"/>
    <n v="7"/>
    <m/>
    <s v="GEO1003"/>
    <x v="2"/>
    <s v="Q4 2020"/>
    <s v="Q4 2020"/>
  </r>
  <r>
    <x v="45"/>
    <x v="9"/>
    <n v="88"/>
    <n v="7"/>
    <m/>
    <s v="GEO1003"/>
    <x v="2"/>
    <s v="Q4 2020"/>
    <s v="Q4 2020"/>
  </r>
  <r>
    <x v="45"/>
    <x v="10"/>
    <n v="91"/>
    <n v="7"/>
    <m/>
    <s v="GEO1003"/>
    <x v="2"/>
    <s v="Q2 2021"/>
    <s v="Q2 2021"/>
  </r>
  <r>
    <x v="45"/>
    <x v="11"/>
    <n v="109"/>
    <n v="7"/>
    <m/>
    <s v="GEO1003"/>
    <x v="2"/>
    <s v="Q2 2021"/>
    <s v="Q2 2021"/>
  </r>
  <r>
    <x v="45"/>
    <x v="12"/>
    <n v="130"/>
    <n v="7"/>
    <m/>
    <s v="GEO1003"/>
    <x v="2"/>
    <s v="Q2 2021"/>
    <s v="Q2 2021"/>
  </r>
  <r>
    <x v="45"/>
    <x v="13"/>
    <n v="105"/>
    <n v="7"/>
    <m/>
    <s v="GEO1003"/>
    <x v="2"/>
    <s v="Q1 2021"/>
    <s v="Q1 2021"/>
  </r>
  <r>
    <x v="45"/>
    <x v="14"/>
    <n v="98"/>
    <n v="7"/>
    <m/>
    <s v="GEO1003"/>
    <x v="2"/>
    <s v="Q1 2021"/>
    <s v="Q1 2021"/>
  </r>
  <r>
    <x v="45"/>
    <x v="15"/>
    <n v="77"/>
    <n v="7"/>
    <m/>
    <s v="GEO1003"/>
    <x v="2"/>
    <s v="Q1 2021"/>
    <s v="Q1 2021"/>
  </r>
  <r>
    <x v="46"/>
    <x v="16"/>
    <n v="568"/>
    <n v="7"/>
    <m/>
    <s v="GEO1001"/>
    <x v="1"/>
    <s v="Q1 2020"/>
    <s v="Q1 2020"/>
  </r>
  <r>
    <x v="46"/>
    <x v="17"/>
    <n v="636"/>
    <n v="7"/>
    <m/>
    <s v="GEO1001"/>
    <x v="1"/>
    <s v="Q1 2020"/>
    <s v="Q1 2020"/>
  </r>
  <r>
    <x v="46"/>
    <x v="0"/>
    <n v="707"/>
    <n v="7"/>
    <m/>
    <s v="GEO1001"/>
    <x v="1"/>
    <s v="Q1 2020"/>
    <s v="Q1 2020"/>
  </r>
  <r>
    <x v="46"/>
    <x v="1"/>
    <n v="849"/>
    <n v="7"/>
    <m/>
    <s v="GEO1001"/>
    <x v="1"/>
    <s v="Q2 2020"/>
    <s v="Q2 2020"/>
  </r>
  <r>
    <x v="46"/>
    <x v="2"/>
    <n v="779"/>
    <n v="7"/>
    <m/>
    <s v="GEO1001"/>
    <x v="1"/>
    <s v="Q2 2020"/>
    <s v="Q2 2020"/>
  </r>
  <r>
    <x v="46"/>
    <x v="3"/>
    <n v="566"/>
    <n v="7"/>
    <m/>
    <s v="GEO1001"/>
    <x v="1"/>
    <s v="Q2 2020"/>
    <s v="Q2 2020"/>
  </r>
  <r>
    <x v="46"/>
    <x v="4"/>
    <n v="498"/>
    <n v="7"/>
    <m/>
    <s v="GEO1001"/>
    <x v="1"/>
    <s v="Q3 2020"/>
    <s v="Q3 2020"/>
  </r>
  <r>
    <x v="46"/>
    <x v="5"/>
    <n v="426"/>
    <n v="7"/>
    <m/>
    <s v="GEO1001"/>
    <x v="1"/>
    <s v="Q3 2020"/>
    <s v="Q3 2020"/>
  </r>
  <r>
    <x v="46"/>
    <x v="6"/>
    <n v="423"/>
    <n v="7"/>
    <m/>
    <s v="GEO1001"/>
    <x v="1"/>
    <s v="Q3 2020"/>
    <s v="Q3 2020"/>
  </r>
  <r>
    <x v="46"/>
    <x v="7"/>
    <n v="495"/>
    <n v="7"/>
    <m/>
    <s v="GEO1001"/>
    <x v="1"/>
    <s v="Q4 2020"/>
    <s v="Q4 2020"/>
  </r>
  <r>
    <x v="46"/>
    <x v="8"/>
    <n v="569"/>
    <n v="7"/>
    <m/>
    <s v="GEO1001"/>
    <x v="1"/>
    <s v="Q4 2020"/>
    <s v="Q4 2020"/>
  </r>
  <r>
    <x v="46"/>
    <x v="9"/>
    <n v="567"/>
    <n v="7"/>
    <m/>
    <s v="GEO1001"/>
    <x v="1"/>
    <s v="Q4 2020"/>
    <s v="Q4 2020"/>
  </r>
  <r>
    <x v="46"/>
    <x v="10"/>
    <n v="563"/>
    <n v="7"/>
    <m/>
    <s v="GEO1001"/>
    <x v="1"/>
    <s v="Q2 2021"/>
    <s v="Q2 2021"/>
  </r>
  <r>
    <x v="46"/>
    <x v="11"/>
    <n v="789"/>
    <n v="7"/>
    <m/>
    <s v="GEO1001"/>
    <x v="1"/>
    <s v="Q2 2021"/>
    <s v="Q2 2021"/>
  </r>
  <r>
    <x v="46"/>
    <x v="12"/>
    <n v="862"/>
    <n v="7"/>
    <m/>
    <s v="GEO1001"/>
    <x v="1"/>
    <s v="Q2 2021"/>
    <s v="Q2 2021"/>
  </r>
  <r>
    <x v="46"/>
    <x v="13"/>
    <n v="702"/>
    <n v="7"/>
    <m/>
    <s v="GEO1001"/>
    <x v="1"/>
    <s v="Q1 2021"/>
    <s v="Q1 2021"/>
  </r>
  <r>
    <x v="46"/>
    <x v="14"/>
    <n v="652"/>
    <n v="7"/>
    <m/>
    <s v="GEO1001"/>
    <x v="1"/>
    <s v="Q1 2021"/>
    <s v="Q1 2021"/>
  </r>
  <r>
    <x v="46"/>
    <x v="15"/>
    <n v="557"/>
    <n v="7"/>
    <m/>
    <s v="GEO1001"/>
    <x v="1"/>
    <s v="Q1 2021"/>
    <s v="Q1 2021"/>
  </r>
  <r>
    <x v="47"/>
    <x v="16"/>
    <n v="902"/>
    <n v="7"/>
    <m/>
    <s v="GEO1002"/>
    <x v="3"/>
    <s v="Q1 2020"/>
    <s v="Q1 2020"/>
  </r>
  <r>
    <x v="47"/>
    <x v="17"/>
    <n v="897"/>
    <n v="7"/>
    <m/>
    <s v="GEO1002"/>
    <x v="3"/>
    <s v="Q1 2020"/>
    <s v="Q1 2020"/>
  </r>
  <r>
    <x v="47"/>
    <x v="0"/>
    <n v="1112"/>
    <n v="7"/>
    <m/>
    <s v="GEO1002"/>
    <x v="3"/>
    <s v="Q1 2020"/>
    <s v="Q1 2020"/>
  </r>
  <r>
    <x v="47"/>
    <x v="1"/>
    <n v="1214"/>
    <n v="7"/>
    <m/>
    <s v="GEO1002"/>
    <x v="3"/>
    <s v="Q2 2020"/>
    <s v="Q2 2020"/>
  </r>
  <r>
    <x v="47"/>
    <x v="2"/>
    <n v="1219"/>
    <n v="7"/>
    <m/>
    <s v="GEO1002"/>
    <x v="3"/>
    <s v="Q2 2020"/>
    <s v="Q2 2020"/>
  </r>
  <r>
    <x v="47"/>
    <x v="3"/>
    <n v="795"/>
    <n v="7"/>
    <m/>
    <s v="GEO1002"/>
    <x v="3"/>
    <s v="Q2 2020"/>
    <s v="Q2 2020"/>
  </r>
  <r>
    <x v="47"/>
    <x v="4"/>
    <n v="794"/>
    <n v="7"/>
    <m/>
    <s v="GEO1002"/>
    <x v="3"/>
    <s v="Q3 2020"/>
    <s v="Q3 2020"/>
  </r>
  <r>
    <x v="47"/>
    <x v="5"/>
    <n v="581"/>
    <n v="7"/>
    <m/>
    <s v="GEO1002"/>
    <x v="3"/>
    <s v="Q3 2020"/>
    <s v="Q3 2020"/>
  </r>
  <r>
    <x v="47"/>
    <x v="6"/>
    <n v="690"/>
    <n v="7"/>
    <m/>
    <s v="GEO1002"/>
    <x v="3"/>
    <s v="Q3 2020"/>
    <s v="Q3 2020"/>
  </r>
  <r>
    <x v="47"/>
    <x v="7"/>
    <n v="690"/>
    <n v="7"/>
    <m/>
    <s v="GEO1002"/>
    <x v="3"/>
    <s v="Q4 2020"/>
    <s v="Q4 2020"/>
  </r>
  <r>
    <x v="47"/>
    <x v="8"/>
    <n v="899"/>
    <n v="7"/>
    <m/>
    <s v="GEO1002"/>
    <x v="3"/>
    <s v="Q4 2020"/>
    <s v="Q4 2020"/>
  </r>
  <r>
    <x v="47"/>
    <x v="9"/>
    <n v="793"/>
    <n v="7"/>
    <m/>
    <s v="GEO1002"/>
    <x v="3"/>
    <s v="Q4 2020"/>
    <s v="Q4 2020"/>
  </r>
  <r>
    <x v="47"/>
    <x v="10"/>
    <n v="820"/>
    <n v="7"/>
    <m/>
    <s v="GEO1002"/>
    <x v="3"/>
    <s v="Q2 2021"/>
    <s v="Q2 2021"/>
  </r>
  <r>
    <x v="47"/>
    <x v="11"/>
    <n v="1231"/>
    <n v="7"/>
    <m/>
    <s v="GEO1002"/>
    <x v="3"/>
    <s v="Q2 2021"/>
    <s v="Q2 2021"/>
  </r>
  <r>
    <x v="47"/>
    <x v="12"/>
    <n v="1204"/>
    <n v="7"/>
    <m/>
    <s v="GEO1002"/>
    <x v="3"/>
    <s v="Q2 2021"/>
    <s v="Q2 2021"/>
  </r>
  <r>
    <x v="47"/>
    <x v="13"/>
    <n v="1120"/>
    <n v="7"/>
    <m/>
    <s v="GEO1002"/>
    <x v="3"/>
    <s v="Q1 2021"/>
    <s v="Q1 2021"/>
  </r>
  <r>
    <x v="47"/>
    <x v="14"/>
    <n v="945"/>
    <n v="7"/>
    <m/>
    <s v="GEO1002"/>
    <x v="3"/>
    <s v="Q1 2021"/>
    <s v="Q1 2021"/>
  </r>
  <r>
    <x v="47"/>
    <x v="15"/>
    <n v="936"/>
    <n v="7"/>
    <m/>
    <s v="GEO1002"/>
    <x v="3"/>
    <s v="Q1 2021"/>
    <s v="Q1 2021"/>
  </r>
  <r>
    <x v="48"/>
    <x v="16"/>
    <n v="1244"/>
    <n v="7"/>
    <m/>
    <s v="GEO1002"/>
    <x v="3"/>
    <s v="Q1 2020"/>
    <s v="Q1 2020"/>
  </r>
  <r>
    <x v="48"/>
    <x v="17"/>
    <n v="1240"/>
    <n v="7"/>
    <m/>
    <s v="GEO1002"/>
    <x v="3"/>
    <s v="Q1 2020"/>
    <s v="Q1 2020"/>
  </r>
  <r>
    <x v="48"/>
    <x v="0"/>
    <n v="1534"/>
    <n v="7"/>
    <m/>
    <s v="GEO1002"/>
    <x v="3"/>
    <s v="Q1 2020"/>
    <s v="Q1 2020"/>
  </r>
  <r>
    <x v="48"/>
    <x v="1"/>
    <n v="1675"/>
    <n v="7"/>
    <m/>
    <s v="GEO1002"/>
    <x v="3"/>
    <s v="Q2 2020"/>
    <s v="Q2 2020"/>
  </r>
  <r>
    <x v="48"/>
    <x v="2"/>
    <n v="1680"/>
    <n v="7"/>
    <m/>
    <s v="GEO1002"/>
    <x v="3"/>
    <s v="Q2 2020"/>
    <s v="Q2 2020"/>
  </r>
  <r>
    <x v="48"/>
    <x v="3"/>
    <n v="1094"/>
    <n v="7"/>
    <m/>
    <s v="GEO1002"/>
    <x v="3"/>
    <s v="Q2 2020"/>
    <s v="Q2 2020"/>
  </r>
  <r>
    <x v="48"/>
    <x v="4"/>
    <n v="1095"/>
    <n v="7"/>
    <m/>
    <s v="GEO1002"/>
    <x v="3"/>
    <s v="Q3 2020"/>
    <s v="Q3 2020"/>
  </r>
  <r>
    <x v="48"/>
    <x v="5"/>
    <n v="807"/>
    <n v="7"/>
    <m/>
    <s v="GEO1002"/>
    <x v="3"/>
    <s v="Q3 2020"/>
    <s v="Q3 2020"/>
  </r>
  <r>
    <x v="48"/>
    <x v="6"/>
    <n v="950"/>
    <n v="7"/>
    <m/>
    <s v="GEO1002"/>
    <x v="3"/>
    <s v="Q3 2020"/>
    <s v="Q3 2020"/>
  </r>
  <r>
    <x v="48"/>
    <x v="7"/>
    <n v="947"/>
    <n v="7"/>
    <m/>
    <s v="GEO1002"/>
    <x v="3"/>
    <s v="Q4 2020"/>
    <s v="Q4 2020"/>
  </r>
  <r>
    <x v="48"/>
    <x v="8"/>
    <n v="1239"/>
    <n v="7"/>
    <m/>
    <s v="GEO1002"/>
    <x v="3"/>
    <s v="Q4 2020"/>
    <s v="Q4 2020"/>
  </r>
  <r>
    <x v="48"/>
    <x v="9"/>
    <n v="1092"/>
    <n v="7"/>
    <m/>
    <s v="GEO1002"/>
    <x v="3"/>
    <s v="Q4 2020"/>
    <s v="Q4 2020"/>
  </r>
  <r>
    <x v="48"/>
    <x v="10"/>
    <n v="1153"/>
    <n v="7"/>
    <m/>
    <s v="GEO1002"/>
    <x v="3"/>
    <s v="Q2 2021"/>
    <s v="Q2 2021"/>
  </r>
  <r>
    <x v="48"/>
    <x v="11"/>
    <n v="1659"/>
    <n v="7"/>
    <m/>
    <s v="GEO1002"/>
    <x v="3"/>
    <s v="Q2 2021"/>
    <s v="Q2 2021"/>
  </r>
  <r>
    <x v="48"/>
    <x v="12"/>
    <n v="1710"/>
    <n v="7"/>
    <m/>
    <s v="GEO1002"/>
    <x v="3"/>
    <s v="Q2 2021"/>
    <s v="Q2 2021"/>
  </r>
  <r>
    <x v="48"/>
    <x v="13"/>
    <n v="1546"/>
    <n v="7"/>
    <m/>
    <s v="GEO1002"/>
    <x v="3"/>
    <s v="Q1 2021"/>
    <s v="Q1 2021"/>
  </r>
  <r>
    <x v="48"/>
    <x v="14"/>
    <n v="1289"/>
    <n v="7"/>
    <m/>
    <s v="GEO1002"/>
    <x v="3"/>
    <s v="Q1 2021"/>
    <s v="Q1 2021"/>
  </r>
  <r>
    <x v="48"/>
    <x v="15"/>
    <n v="1236"/>
    <n v="7"/>
    <m/>
    <s v="GEO1002"/>
    <x v="3"/>
    <s v="Q1 2021"/>
    <s v="Q1 2021"/>
  </r>
  <r>
    <x v="49"/>
    <x v="16"/>
    <n v="1362"/>
    <n v="7"/>
    <m/>
    <s v="GEO1001"/>
    <x v="1"/>
    <s v="Q1 2020"/>
    <s v="Q1 2020"/>
  </r>
  <r>
    <x v="49"/>
    <x v="17"/>
    <n v="1719"/>
    <n v="7"/>
    <m/>
    <s v="GEO1001"/>
    <x v="1"/>
    <s v="Q1 2020"/>
    <s v="Q1 2020"/>
  </r>
  <r>
    <x v="49"/>
    <x v="0"/>
    <n v="1717"/>
    <n v="7"/>
    <m/>
    <s v="GEO1001"/>
    <x v="1"/>
    <s v="Q1 2020"/>
    <s v="Q1 2020"/>
  </r>
  <r>
    <x v="49"/>
    <x v="1"/>
    <n v="2259"/>
    <n v="7"/>
    <m/>
    <s v="GEO1001"/>
    <x v="1"/>
    <s v="Q2 2020"/>
    <s v="Q2 2020"/>
  </r>
  <r>
    <x v="49"/>
    <x v="2"/>
    <n v="1898"/>
    <n v="7"/>
    <m/>
    <s v="GEO1001"/>
    <x v="1"/>
    <s v="Q2 2020"/>
    <s v="Q2 2020"/>
  </r>
  <r>
    <x v="49"/>
    <x v="3"/>
    <n v="1539"/>
    <n v="7"/>
    <m/>
    <s v="GEO1001"/>
    <x v="1"/>
    <s v="Q2 2020"/>
    <s v="Q2 2020"/>
  </r>
  <r>
    <x v="49"/>
    <x v="4"/>
    <n v="1180"/>
    <n v="7"/>
    <m/>
    <s v="GEO1001"/>
    <x v="1"/>
    <s v="Q3 2020"/>
    <s v="Q3 2020"/>
  </r>
  <r>
    <x v="49"/>
    <x v="5"/>
    <n v="1175"/>
    <n v="7"/>
    <m/>
    <s v="GEO1001"/>
    <x v="1"/>
    <s v="Q3 2020"/>
    <s v="Q3 2020"/>
  </r>
  <r>
    <x v="49"/>
    <x v="6"/>
    <n v="999"/>
    <n v="7"/>
    <m/>
    <s v="GEO1001"/>
    <x v="1"/>
    <s v="Q3 2020"/>
    <s v="Q3 2020"/>
  </r>
  <r>
    <x v="49"/>
    <x v="7"/>
    <n v="1361"/>
    <n v="7"/>
    <m/>
    <s v="GEO1001"/>
    <x v="1"/>
    <s v="Q4 2020"/>
    <s v="Q4 2020"/>
  </r>
  <r>
    <x v="49"/>
    <x v="8"/>
    <n v="1358"/>
    <n v="7"/>
    <m/>
    <s v="GEO1001"/>
    <x v="1"/>
    <s v="Q4 2020"/>
    <s v="Q4 2020"/>
  </r>
  <r>
    <x v="49"/>
    <x v="9"/>
    <n v="1542"/>
    <n v="7"/>
    <m/>
    <s v="GEO1001"/>
    <x v="1"/>
    <s v="Q4 2020"/>
    <s v="Q4 2020"/>
  </r>
  <r>
    <x v="49"/>
    <x v="10"/>
    <n v="1553"/>
    <n v="7"/>
    <m/>
    <s v="GEO1001"/>
    <x v="1"/>
    <s v="Q2 2021"/>
    <s v="Q2 2021"/>
  </r>
  <r>
    <x v="49"/>
    <x v="11"/>
    <n v="1998"/>
    <n v="7"/>
    <m/>
    <s v="GEO1001"/>
    <x v="1"/>
    <s v="Q2 2021"/>
    <s v="Q2 2021"/>
  </r>
  <r>
    <x v="49"/>
    <x v="12"/>
    <n v="2309"/>
    <n v="7"/>
    <m/>
    <s v="GEO1001"/>
    <x v="1"/>
    <s v="Q2 2021"/>
    <s v="Q2 2021"/>
  </r>
  <r>
    <x v="49"/>
    <x v="13"/>
    <n v="1701"/>
    <n v="7"/>
    <m/>
    <s v="GEO1001"/>
    <x v="1"/>
    <s v="Q1 2021"/>
    <s v="Q1 2021"/>
  </r>
  <r>
    <x v="49"/>
    <x v="14"/>
    <n v="1790"/>
    <n v="7"/>
    <m/>
    <s v="GEO1001"/>
    <x v="1"/>
    <s v="Q1 2021"/>
    <s v="Q1 2021"/>
  </r>
  <r>
    <x v="49"/>
    <x v="15"/>
    <n v="1353"/>
    <n v="7"/>
    <m/>
    <s v="GEO1001"/>
    <x v="1"/>
    <s v="Q1 2021"/>
    <s v="Q1 2021"/>
  </r>
  <r>
    <x v="50"/>
    <x v="16"/>
    <n v="28034"/>
    <n v="7"/>
    <m/>
    <s v="GEO1001"/>
    <x v="1"/>
    <s v="Q1 2020"/>
    <s v="Q1 2020"/>
  </r>
  <r>
    <x v="50"/>
    <x v="17"/>
    <n v="24922"/>
    <n v="7"/>
    <m/>
    <s v="GEO1001"/>
    <x v="1"/>
    <s v="Q1 2020"/>
    <s v="Q1 2020"/>
  </r>
  <r>
    <x v="50"/>
    <x v="0"/>
    <n v="34268"/>
    <n v="7"/>
    <m/>
    <s v="GEO1001"/>
    <x v="1"/>
    <s v="Q1 2020"/>
    <s v="Q1 2020"/>
  </r>
  <r>
    <x v="50"/>
    <x v="1"/>
    <n v="34268"/>
    <n v="7"/>
    <m/>
    <s v="GEO1001"/>
    <x v="1"/>
    <s v="Q2 2020"/>
    <s v="Q2 2020"/>
  </r>
  <r>
    <x v="50"/>
    <x v="2"/>
    <n v="37380"/>
    <n v="7"/>
    <m/>
    <s v="GEO1001"/>
    <x v="1"/>
    <s v="Q2 2020"/>
    <s v="Q2 2020"/>
  </r>
  <r>
    <x v="50"/>
    <x v="3"/>
    <n v="21809"/>
    <n v="7"/>
    <m/>
    <s v="GEO1001"/>
    <x v="1"/>
    <s v="Q2 2020"/>
    <s v="Q2 2020"/>
  </r>
  <r>
    <x v="50"/>
    <x v="4"/>
    <n v="24920"/>
    <n v="7"/>
    <m/>
    <s v="GEO1001"/>
    <x v="1"/>
    <s v="Q3 2020"/>
    <s v="Q3 2020"/>
  </r>
  <r>
    <x v="50"/>
    <x v="5"/>
    <n v="15576"/>
    <n v="7"/>
    <m/>
    <s v="GEO1001"/>
    <x v="1"/>
    <s v="Q3 2020"/>
    <s v="Q3 2020"/>
  </r>
  <r>
    <x v="50"/>
    <x v="6"/>
    <n v="21809"/>
    <n v="7"/>
    <m/>
    <s v="GEO1001"/>
    <x v="1"/>
    <s v="Q3 2020"/>
    <s v="Q3 2020"/>
  </r>
  <r>
    <x v="50"/>
    <x v="7"/>
    <n v="18694"/>
    <n v="7"/>
    <m/>
    <s v="GEO1001"/>
    <x v="1"/>
    <s v="Q4 2020"/>
    <s v="Q4 2020"/>
  </r>
  <r>
    <x v="50"/>
    <x v="8"/>
    <n v="28037"/>
    <n v="7"/>
    <m/>
    <s v="GEO1001"/>
    <x v="1"/>
    <s v="Q4 2020"/>
    <s v="Q4 2020"/>
  </r>
  <r>
    <x v="50"/>
    <x v="9"/>
    <n v="21809"/>
    <n v="7"/>
    <m/>
    <s v="GEO1001"/>
    <x v="1"/>
    <s v="Q4 2020"/>
    <s v="Q4 2020"/>
  </r>
  <r>
    <x v="50"/>
    <x v="10"/>
    <n v="22463"/>
    <n v="7"/>
    <m/>
    <s v="GEO1001"/>
    <x v="1"/>
    <s v="Q2 2021"/>
    <s v="Q2 2021"/>
  </r>
  <r>
    <x v="50"/>
    <x v="11"/>
    <n v="38501"/>
    <n v="7"/>
    <m/>
    <s v="GEO1001"/>
    <x v="1"/>
    <s v="Q2 2021"/>
    <s v="Q2 2021"/>
  </r>
  <r>
    <x v="50"/>
    <x v="12"/>
    <n v="33923"/>
    <n v="7"/>
    <m/>
    <s v="GEO1001"/>
    <x v="1"/>
    <s v="Q2 2021"/>
    <s v="Q2 2021"/>
  </r>
  <r>
    <x v="50"/>
    <x v="13"/>
    <n v="35291"/>
    <n v="7"/>
    <m/>
    <s v="GEO1001"/>
    <x v="1"/>
    <s v="Q1 2021"/>
    <s v="Q1 2021"/>
  </r>
  <r>
    <x v="50"/>
    <x v="14"/>
    <n v="24798"/>
    <n v="7"/>
    <m/>
    <s v="GEO1001"/>
    <x v="1"/>
    <s v="Q1 2021"/>
    <s v="Q1 2021"/>
  </r>
  <r>
    <x v="50"/>
    <x v="15"/>
    <n v="29157"/>
    <n v="7"/>
    <m/>
    <s v="GEO1001"/>
    <x v="1"/>
    <s v="Q1 2021"/>
    <s v="Q1 2021"/>
  </r>
  <r>
    <x v="51"/>
    <x v="16"/>
    <n v="142"/>
    <n v="7"/>
    <m/>
    <s v="GEO1002"/>
    <x v="3"/>
    <s v="Q1 2020"/>
    <s v="Q1 2020"/>
  </r>
  <r>
    <x v="51"/>
    <x v="17"/>
    <n v="125"/>
    <n v="7"/>
    <m/>
    <s v="GEO1002"/>
    <x v="3"/>
    <s v="Q1 2020"/>
    <s v="Q1 2020"/>
  </r>
  <r>
    <x v="51"/>
    <x v="0"/>
    <n v="171"/>
    <n v="7"/>
    <m/>
    <s v="GEO1002"/>
    <x v="3"/>
    <s v="Q1 2020"/>
    <s v="Q1 2020"/>
  </r>
  <r>
    <x v="51"/>
    <x v="1"/>
    <n v="168"/>
    <n v="7"/>
    <m/>
    <s v="GEO1002"/>
    <x v="3"/>
    <s v="Q2 2020"/>
    <s v="Q2 2020"/>
  </r>
  <r>
    <x v="51"/>
    <x v="2"/>
    <n v="183"/>
    <n v="7"/>
    <m/>
    <s v="GEO1002"/>
    <x v="3"/>
    <s v="Q2 2020"/>
    <s v="Q2 2020"/>
  </r>
  <r>
    <x v="51"/>
    <x v="3"/>
    <n v="109"/>
    <n v="7"/>
    <m/>
    <s v="GEO1002"/>
    <x v="3"/>
    <s v="Q2 2020"/>
    <s v="Q2 2020"/>
  </r>
  <r>
    <x v="51"/>
    <x v="4"/>
    <n v="125"/>
    <n v="7"/>
    <m/>
    <s v="GEO1002"/>
    <x v="3"/>
    <s v="Q3 2020"/>
    <s v="Q3 2020"/>
  </r>
  <r>
    <x v="51"/>
    <x v="5"/>
    <n v="80"/>
    <n v="7"/>
    <m/>
    <s v="GEO1002"/>
    <x v="3"/>
    <s v="Q3 2020"/>
    <s v="Q3 2020"/>
  </r>
  <r>
    <x v="51"/>
    <x v="6"/>
    <n v="111"/>
    <n v="7"/>
    <m/>
    <s v="GEO1002"/>
    <x v="3"/>
    <s v="Q3 2020"/>
    <s v="Q3 2020"/>
  </r>
  <r>
    <x v="51"/>
    <x v="7"/>
    <n v="96"/>
    <n v="7"/>
    <m/>
    <s v="GEO1002"/>
    <x v="3"/>
    <s v="Q4 2020"/>
    <s v="Q4 2020"/>
  </r>
  <r>
    <x v="51"/>
    <x v="8"/>
    <n v="136"/>
    <n v="7"/>
    <m/>
    <s v="GEO1002"/>
    <x v="3"/>
    <s v="Q4 2020"/>
    <s v="Q4 2020"/>
  </r>
  <r>
    <x v="51"/>
    <x v="9"/>
    <n v="107"/>
    <n v="7"/>
    <m/>
    <s v="GEO1002"/>
    <x v="3"/>
    <s v="Q4 2020"/>
    <s v="Q4 2020"/>
  </r>
  <r>
    <x v="51"/>
    <x v="14"/>
    <n v="126"/>
    <n v="7"/>
    <m/>
    <s v="GEO1002"/>
    <x v="3"/>
    <s v="Q1 2021"/>
    <s v="Q1 2021"/>
  </r>
  <r>
    <x v="51"/>
    <x v="15"/>
    <n v="140"/>
    <n v="7"/>
    <m/>
    <s v="GEO1002"/>
    <x v="3"/>
    <s v="Q1 2021"/>
    <s v="Q1 2021"/>
  </r>
  <r>
    <x v="52"/>
    <x v="16"/>
    <n v="220"/>
    <n v="7"/>
    <m/>
    <s v="GEO1002"/>
    <x v="3"/>
    <s v="Q1 2020"/>
    <s v="Q1 2020"/>
  </r>
  <r>
    <x v="52"/>
    <x v="17"/>
    <n v="219"/>
    <n v="7"/>
    <m/>
    <s v="GEO1002"/>
    <x v="3"/>
    <s v="Q1 2020"/>
    <s v="Q1 2020"/>
  </r>
  <r>
    <x v="52"/>
    <x v="0"/>
    <n v="266"/>
    <n v="7"/>
    <m/>
    <s v="GEO1002"/>
    <x v="3"/>
    <s v="Q1 2020"/>
    <s v="Q1 2020"/>
  </r>
  <r>
    <x v="52"/>
    <x v="1"/>
    <n v="294"/>
    <n v="7"/>
    <m/>
    <s v="GEO1002"/>
    <x v="3"/>
    <s v="Q2 2020"/>
    <s v="Q2 2020"/>
  </r>
  <r>
    <x v="52"/>
    <x v="2"/>
    <n v="295"/>
    <n v="7"/>
    <m/>
    <s v="GEO1002"/>
    <x v="3"/>
    <s v="Q2 2020"/>
    <s v="Q2 2020"/>
  </r>
  <r>
    <x v="52"/>
    <x v="3"/>
    <n v="193"/>
    <n v="7"/>
    <m/>
    <s v="GEO1002"/>
    <x v="3"/>
    <s v="Q2 2020"/>
    <s v="Q2 2020"/>
  </r>
  <r>
    <x v="52"/>
    <x v="4"/>
    <n v="190"/>
    <n v="7"/>
    <m/>
    <s v="GEO1002"/>
    <x v="3"/>
    <s v="Q3 2020"/>
    <s v="Q3 2020"/>
  </r>
  <r>
    <x v="52"/>
    <x v="5"/>
    <n v="143"/>
    <n v="7"/>
    <m/>
    <s v="GEO1002"/>
    <x v="3"/>
    <s v="Q3 2020"/>
    <s v="Q3 2020"/>
  </r>
  <r>
    <x v="52"/>
    <x v="6"/>
    <n v="170"/>
    <n v="7"/>
    <m/>
    <s v="GEO1002"/>
    <x v="3"/>
    <s v="Q3 2020"/>
    <s v="Q3 2020"/>
  </r>
  <r>
    <x v="52"/>
    <x v="7"/>
    <n v="170"/>
    <n v="7"/>
    <m/>
    <s v="GEO1002"/>
    <x v="3"/>
    <s v="Q4 2020"/>
    <s v="Q4 2020"/>
  </r>
  <r>
    <x v="52"/>
    <x v="8"/>
    <n v="214"/>
    <n v="7"/>
    <m/>
    <s v="GEO1002"/>
    <x v="3"/>
    <s v="Q4 2020"/>
    <s v="Q4 2020"/>
  </r>
  <r>
    <x v="52"/>
    <x v="9"/>
    <n v="194"/>
    <n v="7"/>
    <m/>
    <s v="GEO1002"/>
    <x v="3"/>
    <s v="Q4 2020"/>
    <s v="Q4 2020"/>
  </r>
  <r>
    <x v="52"/>
    <x v="10"/>
    <n v="195"/>
    <n v="7"/>
    <m/>
    <s v="GEO1002"/>
    <x v="3"/>
    <s v="Q2 2021"/>
    <s v="Q2 2021"/>
  </r>
  <r>
    <x v="52"/>
    <x v="11"/>
    <n v="290"/>
    <n v="7"/>
    <m/>
    <s v="GEO1002"/>
    <x v="3"/>
    <s v="Q2 2021"/>
    <s v="Q2 2021"/>
  </r>
  <r>
    <x v="52"/>
    <x v="12"/>
    <n v="294"/>
    <n v="7"/>
    <m/>
    <s v="GEO1002"/>
    <x v="3"/>
    <s v="Q2 2021"/>
    <s v="Q2 2021"/>
  </r>
  <r>
    <x v="52"/>
    <x v="13"/>
    <n v="270"/>
    <n v="7"/>
    <m/>
    <s v="GEO1002"/>
    <x v="3"/>
    <s v="Q1 2021"/>
    <s v="Q1 2021"/>
  </r>
  <r>
    <x v="52"/>
    <x v="14"/>
    <n v="224"/>
    <n v="7"/>
    <m/>
    <s v="GEO1002"/>
    <x v="3"/>
    <s v="Q1 2021"/>
    <s v="Q1 2021"/>
  </r>
  <r>
    <x v="52"/>
    <x v="15"/>
    <n v="222"/>
    <n v="7"/>
    <m/>
    <s v="GEO1002"/>
    <x v="3"/>
    <s v="Q1 2021"/>
    <s v="Q1 20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6B85B4-24EA-4BC7-8A3F-454D45115F76}" name="PivotTable5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3">
  <location ref="A38:G46" firstHeaderRow="1" firstDataRow="4" firstDataCol="1"/>
  <pivotFields count="11">
    <pivotField showAll="0" defaultSubtotal="0"/>
    <pivotField axis="axisCol" numFmtId="167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numFmtId="165" showAll="0" defaultSubtotal="0"/>
    <pivotField showAll="0" defaultSubtotal="0"/>
    <pivotField showAll="0" defaultSubtotal="0"/>
    <pivotField showAll="0" defaultSubtotal="0"/>
    <pivotField axis="axisRow" showAll="0" sortType="descending" defaultSubtotal="0">
      <items count="4">
        <item x="3"/>
        <item x="2"/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axis="axisCol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showAll="0" defaultSubtotal="0">
      <items count="4">
        <item sd="0" x="0"/>
        <item x="1"/>
        <item x="2"/>
        <item sd="0" x="3"/>
      </items>
    </pivotField>
  </pivotFields>
  <rowFields count="1">
    <field x="6"/>
  </rowFields>
  <rowItems count="5">
    <i>
      <x v="3"/>
    </i>
    <i>
      <x v="1"/>
    </i>
    <i>
      <x/>
    </i>
    <i>
      <x v="2"/>
    </i>
    <i t="grand">
      <x/>
    </i>
  </rowItems>
  <colFields count="3">
    <field x="10"/>
    <field x="9"/>
    <field x="1"/>
  </colFields>
  <colItems count="6">
    <i>
      <x v="1"/>
      <x v="1"/>
    </i>
    <i r="1">
      <x v="2"/>
    </i>
    <i r="1">
      <x v="3"/>
    </i>
    <i r="1">
      <x v="4"/>
    </i>
    <i>
      <x v="2"/>
      <x v="1"/>
    </i>
    <i r="1">
      <x v="2"/>
    </i>
  </colItems>
  <dataFields count="1">
    <dataField name="Sum of Vol" fld="2" baseField="0" baseItem="0"/>
  </dataFields>
  <formats count="14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1" type="button" dataOnly="0" labelOnly="1" outline="0" axis="axisCol" fieldPosition="2"/>
    </format>
    <format dxfId="38">
      <pivotArea dataOnly="0" labelOnly="1" grandCol="1" outline="0" fieldPosition="0"/>
    </format>
    <format dxfId="37">
      <pivotArea outline="0" collapsedLevelsAreSubtotals="1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type="origin" dataOnly="0" labelOnly="1" outline="0" fieldPosition="0"/>
    </format>
    <format dxfId="33">
      <pivotArea field="10" type="button" dataOnly="0" labelOnly="1" outline="0" axis="axisCol" fieldPosition="0"/>
    </format>
    <format dxfId="32">
      <pivotArea field="9" type="button" dataOnly="0" labelOnly="1" outline="0" axis="axisCol" fieldPosition="1"/>
    </format>
    <format dxfId="31">
      <pivotArea field="6" type="button" dataOnly="0" labelOnly="1" outline="0" axis="axisRow" fieldPosition="0"/>
    </format>
    <format dxfId="30">
      <pivotArea dataOnly="0" labelOnly="1" fieldPosition="0">
        <references count="1">
          <reference field="6" count="0"/>
        </references>
      </pivotArea>
    </format>
    <format dxfId="29">
      <pivotArea dataOnly="0" labelOnly="1" grandRow="1" outline="0" fieldPosition="0"/>
    </format>
    <format dxfId="28">
      <pivotArea dataOnly="0" labelOnly="1" fieldPosition="0">
        <references count="1">
          <reference field="10" count="2">
            <x v="1"/>
            <x v="2"/>
          </reference>
        </references>
      </pivotArea>
    </format>
  </formats>
  <chartFormats count="34">
    <chartFormat chart="0" format="29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30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1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32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33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34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35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0" format="36" series="1">
      <pivotArea type="data" outline="0" fieldPosition="0">
        <references count="1">
          <reference field="1" count="1" selected="0">
            <x v="8"/>
          </reference>
        </references>
      </pivotArea>
    </chartFormat>
    <chartFormat chart="0" format="37" series="1">
      <pivotArea type="data" outline="0" fieldPosition="0">
        <references count="1">
          <reference field="1" count="1" selected="0">
            <x v="9"/>
          </reference>
        </references>
      </pivotArea>
    </chartFormat>
    <chartFormat chart="0" format="38" series="1">
      <pivotArea type="data" outline="0" fieldPosition="0">
        <references count="1">
          <reference field="1" count="1" selected="0">
            <x v="10"/>
          </reference>
        </references>
      </pivotArea>
    </chartFormat>
    <chartFormat chart="0" format="39" series="1">
      <pivotArea type="data" outline="0" fieldPosition="0">
        <references count="1">
          <reference field="1" count="1" selected="0">
            <x v="11"/>
          </reference>
        </references>
      </pivotArea>
    </chartFormat>
    <chartFormat chart="0" format="40" series="1">
      <pivotArea type="data" outline="0" fieldPosition="0">
        <references count="1">
          <reference field="1" count="1" selected="0">
            <x v="12"/>
          </reference>
        </references>
      </pivotArea>
    </chartFormat>
    <chartFormat chart="0" format="41" series="1">
      <pivotArea type="data" outline="0" fieldPosition="0">
        <references count="1">
          <reference field="10" count="1" selected="0">
            <x v="1"/>
          </reference>
        </references>
      </pivotArea>
    </chartFormat>
    <chartFormat chart="0" format="42" series="1">
      <pivotArea type="data" outline="0" fieldPosition="0">
        <references count="2">
          <reference field="9" count="1" selected="0">
            <x v="1"/>
          </reference>
          <reference field="10" count="1" selected="0">
            <x v="2"/>
          </reference>
        </references>
      </pivotArea>
    </chartFormat>
    <chartFormat chart="0" format="43" series="1">
      <pivotArea type="data" outline="0" fieldPosition="0">
        <references count="2">
          <reference field="9" count="1" selected="0">
            <x v="2"/>
          </reference>
          <reference field="10" count="1" selected="0">
            <x v="2"/>
          </reference>
        </references>
      </pivotArea>
    </chartFormat>
    <chartFormat chart="0" format="44" series="1">
      <pivotArea type="data" outline="0" fieldPosition="0">
        <references count="1">
          <reference field="10" count="1" selected="0">
            <x v="2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46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0" count="1" selected="0">
            <x v="1"/>
          </reference>
        </references>
      </pivotArea>
    </chartFormat>
    <chartFormat chart="0" format="47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0" count="1" selected="0">
            <x v="1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0" count="1" selected="0">
            <x v="2"/>
          </reference>
        </references>
      </pivotArea>
    </chartFormat>
    <chartFormat chart="2" format="0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0" count="1" selected="0">
            <x v="1"/>
          </reference>
        </references>
      </pivotArea>
    </chartFormat>
    <chartFormat chart="2" format="1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0" count="1" selected="0">
            <x v="1"/>
          </reference>
        </references>
      </pivotArea>
    </chartFormat>
    <chartFormat chart="2" format="2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0" count="1" selected="0">
            <x v="1"/>
          </reference>
        </references>
      </pivotArea>
    </chartFormat>
    <chartFormat chart="2" format="3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0" count="1" selected="0">
            <x v="1"/>
          </reference>
        </references>
      </pivotArea>
    </chartFormat>
    <chartFormat chart="2" format="4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0" count="1" selected="0">
            <x v="2"/>
          </reference>
        </references>
      </pivotArea>
    </chartFormat>
    <chartFormat chart="2" format="5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0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28440-7A6B-4DEC-9AF3-F7041134EE0F}" name="PivotTable4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3">
  <location ref="A3:E13" firstHeaderRow="1" firstDataRow="2" firstDataCol="1"/>
  <pivotFields count="11">
    <pivotField showAll="0" defaultSubtotal="0"/>
    <pivotField axis="axisRow" numFmtId="167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numFmtId="165" showAll="0" defaultSubtotal="0"/>
    <pivotField showAll="0" defaultSubtotal="0"/>
    <pivotField showAll="0" defaultSubtotal="0"/>
    <pivotField showAll="0" defaultSubtotal="0"/>
    <pivotField axis="axisCol" showAll="0" sortType="descending" defaultSubtotal="0">
      <items count="4">
        <item x="3"/>
        <item x="2"/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x="1"/>
        <item x="2"/>
        <item sd="0" x="3"/>
      </items>
    </pivotField>
  </pivotFields>
  <rowFields count="3">
    <field x="10"/>
    <field x="9"/>
    <field x="1"/>
  </rowFields>
  <rowItems count="9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t="grand">
      <x/>
    </i>
  </rowItems>
  <colFields count="1">
    <field x="6"/>
  </colFields>
  <colItems count="4">
    <i>
      <x v="3"/>
    </i>
    <i>
      <x v="1"/>
    </i>
    <i>
      <x/>
    </i>
    <i>
      <x v="2"/>
    </i>
  </colItems>
  <dataFields count="1">
    <dataField name="Sum of Vol" fld="2" baseField="0" baseItem="0"/>
  </dataFields>
  <formats count="14"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1" type="button" dataOnly="0" labelOnly="1" outline="0" axis="axisRow" fieldPosition="2"/>
    </format>
    <format dxfId="52">
      <pivotArea dataOnly="0" labelOnly="1" grandCol="1" outline="0" fieldPosition="0"/>
    </format>
    <format dxfId="51">
      <pivotArea outline="0" collapsedLevelsAreSubtotals="1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type="origin" dataOnly="0" labelOnly="1" outline="0" fieldPosition="0"/>
    </format>
    <format dxfId="47">
      <pivotArea field="10" type="button" dataOnly="0" labelOnly="1" outline="0" axis="axisRow" fieldPosition="0"/>
    </format>
    <format dxfId="46">
      <pivotArea field="9" type="button" dataOnly="0" labelOnly="1" outline="0" axis="axisRow" fieldPosition="1"/>
    </format>
    <format dxfId="45">
      <pivotArea field="6" type="button" dataOnly="0" labelOnly="1" outline="0" axis="axisCol" fieldPosition="0"/>
    </format>
    <format dxfId="44">
      <pivotArea dataOnly="0" labelOnly="1" fieldPosition="0">
        <references count="1">
          <reference field="6" count="0"/>
        </references>
      </pivotArea>
    </format>
    <format dxfId="43">
      <pivotArea dataOnly="0" labelOnly="1" grandRow="1" outline="0" fieldPosition="0"/>
    </format>
    <format dxfId="42">
      <pivotArea dataOnly="0" labelOnly="1" fieldPosition="0">
        <references count="1">
          <reference field="10" count="2">
            <x v="1"/>
            <x v="2"/>
          </reference>
        </references>
      </pivotArea>
    </format>
  </formats>
  <chartFormats count="10">
    <chartFormat chart="2" format="0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0" count="1" selected="0">
            <x v="1"/>
          </reference>
        </references>
      </pivotArea>
    </chartFormat>
    <chartFormat chart="2" format="1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0" count="1" selected="0">
            <x v="1"/>
          </reference>
        </references>
      </pivotArea>
    </chartFormat>
    <chartFormat chart="2" format="2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0" count="1" selected="0">
            <x v="1"/>
          </reference>
        </references>
      </pivotArea>
    </chartFormat>
    <chartFormat chart="2" format="3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0" count="1" selected="0">
            <x v="1"/>
          </reference>
        </references>
      </pivotArea>
    </chartFormat>
    <chartFormat chart="2" format="4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0" count="1" selected="0">
            <x v="2"/>
          </reference>
        </references>
      </pivotArea>
    </chartFormat>
    <chartFormat chart="2" format="5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0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848A96-5C5D-45EF-AB80-8FF265570001}" name="PivotTable6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 chartFormat="3">
  <location ref="A51:J112" firstHeaderRow="1" firstDataRow="4" firstDataCol="2"/>
  <pivotFields count="11">
    <pivotField axis="axisRow" compact="0" outline="0" showAll="0" sortType="descending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67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5">
        <item sd="0" x="0"/>
        <item x="1"/>
        <item x="2"/>
        <item sd="0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6"/>
    <field x="0"/>
  </rowFields>
  <rowItems count="58">
    <i>
      <x v="3"/>
      <x v="31"/>
    </i>
    <i r="1">
      <x v="50"/>
    </i>
    <i r="1">
      <x v="16"/>
    </i>
    <i r="1">
      <x v="10"/>
    </i>
    <i r="1">
      <x v="11"/>
    </i>
    <i r="1">
      <x v="4"/>
    </i>
    <i r="1">
      <x v="14"/>
    </i>
    <i r="1">
      <x v="28"/>
    </i>
    <i r="1">
      <x v="19"/>
    </i>
    <i r="1">
      <x v="26"/>
    </i>
    <i r="1">
      <x v="49"/>
    </i>
    <i r="1">
      <x v="36"/>
    </i>
    <i r="1">
      <x v="39"/>
    </i>
    <i r="1">
      <x v="24"/>
    </i>
    <i r="1">
      <x v="3"/>
    </i>
    <i r="1">
      <x v="1"/>
    </i>
    <i r="1">
      <x v="29"/>
    </i>
    <i r="1">
      <x v="22"/>
    </i>
    <i r="1">
      <x v="46"/>
    </i>
    <i r="1">
      <x v="23"/>
    </i>
    <i t="default">
      <x v="3"/>
    </i>
    <i>
      <x v="1"/>
      <x v="43"/>
    </i>
    <i r="1">
      <x v="34"/>
    </i>
    <i r="1">
      <x v="44"/>
    </i>
    <i r="1">
      <x v="32"/>
    </i>
    <i r="1">
      <x v="2"/>
    </i>
    <i r="1">
      <x v="42"/>
    </i>
    <i r="1">
      <x v="9"/>
    </i>
    <i r="1">
      <x v="45"/>
    </i>
    <i t="default">
      <x v="1"/>
    </i>
    <i>
      <x/>
      <x v="21"/>
    </i>
    <i r="1">
      <x v="33"/>
    </i>
    <i r="1">
      <x v="40"/>
    </i>
    <i r="1">
      <x v="48"/>
    </i>
    <i r="1">
      <x v="7"/>
    </i>
    <i r="1">
      <x v="47"/>
    </i>
    <i r="1">
      <x v="12"/>
    </i>
    <i r="1">
      <x v="27"/>
    </i>
    <i r="1">
      <x v="25"/>
    </i>
    <i r="1">
      <x v="35"/>
    </i>
    <i r="1">
      <x v="18"/>
    </i>
    <i r="1">
      <x v="52"/>
    </i>
    <i r="1">
      <x v="51"/>
    </i>
    <i r="1">
      <x v="38"/>
    </i>
    <i t="default">
      <x/>
    </i>
    <i>
      <x v="2"/>
      <x v="17"/>
    </i>
    <i r="1">
      <x v="41"/>
    </i>
    <i r="1">
      <x v="13"/>
    </i>
    <i r="1">
      <x v="37"/>
    </i>
    <i r="1">
      <x v="6"/>
    </i>
    <i r="1">
      <x/>
    </i>
    <i r="1">
      <x v="5"/>
    </i>
    <i r="1">
      <x v="15"/>
    </i>
    <i r="1">
      <x v="20"/>
    </i>
    <i r="1">
      <x v="30"/>
    </i>
    <i r="1">
      <x v="8"/>
    </i>
    <i t="default">
      <x v="2"/>
    </i>
    <i t="grand">
      <x/>
    </i>
  </rowItems>
  <colFields count="3">
    <field x="10"/>
    <field x="9"/>
    <field x="1"/>
  </colFields>
  <colItems count="8">
    <i>
      <x v="1"/>
      <x v="1"/>
    </i>
    <i r="1">
      <x v="2"/>
    </i>
    <i r="1">
      <x v="3"/>
    </i>
    <i r="1">
      <x v="4"/>
    </i>
    <i t="default">
      <x v="1"/>
    </i>
    <i>
      <x v="2"/>
      <x v="1"/>
    </i>
    <i r="1">
      <x v="2"/>
    </i>
    <i t="default">
      <x v="2"/>
    </i>
  </colItems>
  <dataFields count="1">
    <dataField name="Sum of Vol" fld="2" baseField="0" baseItem="0"/>
  </dataFields>
  <formats count="6"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1" type="button" dataOnly="0" labelOnly="1" outline="0" axis="axisCol" fieldPosition="2"/>
    </format>
    <format dxfId="58">
      <pivotArea dataOnly="0" labelOnly="1" grandCol="1" outline="0" fieldPosition="0"/>
    </format>
    <format dxfId="57">
      <pivotArea outline="0" collapsedLevelsAreSubtotals="1" fieldPosition="0"/>
    </format>
    <format dxfId="56">
      <pivotArea type="all" dataOnly="0" outline="0" fieldPosition="0"/>
    </format>
  </formats>
  <chartFormats count="34">
    <chartFormat chart="0" format="29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30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1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32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33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34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35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0" format="36" series="1">
      <pivotArea type="data" outline="0" fieldPosition="0">
        <references count="1">
          <reference field="1" count="1" selected="0">
            <x v="8"/>
          </reference>
        </references>
      </pivotArea>
    </chartFormat>
    <chartFormat chart="0" format="37" series="1">
      <pivotArea type="data" outline="0" fieldPosition="0">
        <references count="1">
          <reference field="1" count="1" selected="0">
            <x v="9"/>
          </reference>
        </references>
      </pivotArea>
    </chartFormat>
    <chartFormat chart="0" format="38" series="1">
      <pivotArea type="data" outline="0" fieldPosition="0">
        <references count="1">
          <reference field="1" count="1" selected="0">
            <x v="10"/>
          </reference>
        </references>
      </pivotArea>
    </chartFormat>
    <chartFormat chart="0" format="39" series="1">
      <pivotArea type="data" outline="0" fieldPosition="0">
        <references count="1">
          <reference field="1" count="1" selected="0">
            <x v="11"/>
          </reference>
        </references>
      </pivotArea>
    </chartFormat>
    <chartFormat chart="0" format="40" series="1">
      <pivotArea type="data" outline="0" fieldPosition="0">
        <references count="1">
          <reference field="1" count="1" selected="0">
            <x v="12"/>
          </reference>
        </references>
      </pivotArea>
    </chartFormat>
    <chartFormat chart="0" format="41" series="1">
      <pivotArea type="data" outline="0" fieldPosition="0">
        <references count="1">
          <reference field="10" count="1" selected="0">
            <x v="1"/>
          </reference>
        </references>
      </pivotArea>
    </chartFormat>
    <chartFormat chart="0" format="42" series="1">
      <pivotArea type="data" outline="0" fieldPosition="0">
        <references count="2">
          <reference field="9" count="1" selected="0">
            <x v="1"/>
          </reference>
          <reference field="10" count="1" selected="0">
            <x v="2"/>
          </reference>
        </references>
      </pivotArea>
    </chartFormat>
    <chartFormat chart="0" format="43" series="1">
      <pivotArea type="data" outline="0" fieldPosition="0">
        <references count="2">
          <reference field="9" count="1" selected="0">
            <x v="2"/>
          </reference>
          <reference field="10" count="1" selected="0">
            <x v="2"/>
          </reference>
        </references>
      </pivotArea>
    </chartFormat>
    <chartFormat chart="0" format="44" series="1">
      <pivotArea type="data" outline="0" fieldPosition="0">
        <references count="1">
          <reference field="10" count="1" selected="0">
            <x v="2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46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0" count="1" selected="0">
            <x v="1"/>
          </reference>
        </references>
      </pivotArea>
    </chartFormat>
    <chartFormat chart="0" format="47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0" count="1" selected="0">
            <x v="1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0" count="1" selected="0">
            <x v="2"/>
          </reference>
        </references>
      </pivotArea>
    </chartFormat>
    <chartFormat chart="2" format="0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0" count="1" selected="0">
            <x v="1"/>
          </reference>
        </references>
      </pivotArea>
    </chartFormat>
    <chartFormat chart="2" format="1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0" count="1" selected="0">
            <x v="1"/>
          </reference>
        </references>
      </pivotArea>
    </chartFormat>
    <chartFormat chart="2" format="2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0" count="1" selected="0">
            <x v="1"/>
          </reference>
        </references>
      </pivotArea>
    </chartFormat>
    <chartFormat chart="2" format="3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0" count="1" selected="0">
            <x v="1"/>
          </reference>
        </references>
      </pivotArea>
    </chartFormat>
    <chartFormat chart="2" format="4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0" count="1" selected="0">
            <x v="2"/>
          </reference>
        </references>
      </pivotArea>
    </chartFormat>
    <chartFormat chart="2" format="5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0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DF54FC-B6ED-4248-A160-2B105867C463}" name="VolumebyClient" displayName="VolumebyClient" ref="A1:I908" totalsRowShown="0" headerRowDxfId="27">
  <autoFilter ref="A1:I908" xr:uid="{7EDF54FC-B6ED-4248-A160-2B105867C463}"/>
  <tableColumns count="9">
    <tableColumn id="1" xr3:uid="{CB0B1C0D-7002-4935-B16E-1172C2AA96C8}" name="CLID" dataDxfId="26"/>
    <tableColumn id="2" xr3:uid="{D77CE0C9-8E5D-4F24-BD72-71EC38919526}" name="Date" dataDxfId="25"/>
    <tableColumn id="3" xr3:uid="{BCBFF4C7-2EB7-46AE-ADC3-EF288100F17C}" name="Vol" dataDxfId="24" dataCellStyle="Comma"/>
    <tableColumn id="4" xr3:uid="{968242F9-575F-4D85-A036-133B638DE750}" name="LEN" dataDxfId="23">
      <calculatedColumnFormula>LEN(VolumebyClient[[#This Row],[CLID]])</calculatedColumnFormula>
    </tableColumn>
    <tableColumn id="5" xr3:uid="{90CCEE6A-04C9-47E5-A76F-E73C7C87E90B}" name="Xlookup Region ID" dataDxfId="22"/>
    <tableColumn id="6" xr3:uid="{45E2DAA9-693B-4028-9069-C632A83A18AC}" name="Index Match Region ID" dataDxfId="21">
      <calculatedColumnFormula>INDEX(GeobyClient[GEOID],MATCH(VolumebyClient[[#This Row],[CLID]],GeobyClient[Right],0))</calculatedColumnFormula>
    </tableColumn>
    <tableColumn id="7" xr3:uid="{60155689-D38D-4769-9F8F-2B5111080F97}" name="Region Name" dataDxfId="20">
      <calculatedColumnFormula>VLOOKUP(VolumebyClient[[#This Row],[Index Match Region ID]],GEONames[[GEOID]:[GEO NAME]],2,FALSE)</calculatedColumnFormula>
    </tableColumn>
    <tableColumn id="8" xr3:uid="{D73ADC3B-816B-4359-A2FB-B9B56D300379}" name="Quarter" dataDxfId="19">
      <calculatedColumnFormula>"Q"&amp;ROUNDUP(MONTH(VolumebyClient[[#This Row],[Date]])/3,0)&amp;" "&amp;YEAR(VolumebyClient[[#This Row],[Date]])</calculatedColumnFormula>
    </tableColumn>
    <tableColumn id="10" xr3:uid="{518BE618-8CC6-4713-A6DC-B51A10FF7361}" name="Quarter by Vlookup" dataDxfId="18">
      <calculatedColumnFormula>VLOOKUP(VolumebyClient[[#This Row],[Date]],Quarters[],3,TRUE)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A2F349B-B56E-4042-B310-27F4F01D8487}" name="Quarters" displayName="Quarters" ref="L1:N7" totalsRowShown="0" headerRowDxfId="17">
  <autoFilter ref="L1:N7" xr:uid="{1A2F349B-B56E-4042-B310-27F4F01D8487}"/>
  <tableColumns count="3">
    <tableColumn id="1" xr3:uid="{22CC1DF4-24BE-4E03-BDF4-9E39FA21B37A}" name="Date Start" dataDxfId="16"/>
    <tableColumn id="2" xr3:uid="{5921A285-6CC9-44D7-BD48-4B54E58776D2}" name="Date End" dataDxfId="15"/>
    <tableColumn id="3" xr3:uid="{C960B527-9513-41D6-9C84-738ADEBCF5D2}" name="Name" dataDxfId="1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99B071-3B42-4F40-A949-51E4A03D50C6}" name="GeobyClient" displayName="GeobyClient" ref="A1:G54" totalsRowShown="0" headerRowDxfId="13" dataDxfId="12">
  <autoFilter ref="A1:G54" xr:uid="{0099B071-3B42-4F40-A949-51E4A03D50C6}"/>
  <tableColumns count="7">
    <tableColumn id="1" xr3:uid="{79DAB0B5-A490-4818-B50A-3B36845B5CBC}" name="CLID" dataDxfId="11"/>
    <tableColumn id="2" xr3:uid="{D06A973A-3941-4EDC-A040-77BEC4BE2278}" name="GEOID" dataDxfId="10"/>
    <tableColumn id="3" xr3:uid="{08DA30CB-3D59-471C-8994-AE3F3E2DADA0}" name="LEN" dataDxfId="9">
      <calculatedColumnFormula>LEN(GeobyClient[[#This Row],[CLID]])</calculatedColumnFormula>
    </tableColumn>
    <tableColumn id="5" xr3:uid="{DC2D276D-2B54-4FCD-B573-DA8D4B974D5A}" name="Mid" dataDxfId="8">
      <calculatedColumnFormula>MID(GeobyClient[[#This Row],[CLID]],3,7)</calculatedColumnFormula>
    </tableColumn>
    <tableColumn id="4" xr3:uid="{4539451F-05B3-4C9E-977F-52805D751870}" name="Right" dataDxfId="7">
      <calculatedColumnFormula>RIGHT(GeobyClient[[#This Row],[CLID]],7)</calculatedColumnFormula>
    </tableColumn>
    <tableColumn id="6" xr3:uid="{3E6A1E94-886E-4C4A-BEAF-EDDB575C1556}" name="Test" dataDxfId="6">
      <calculatedColumnFormula>GeobyClient[[#This Row],[Right]]=GeobyClient[[#This Row],[Mid]]</calculatedColumnFormula>
    </tableColumn>
    <tableColumn id="7" xr3:uid="{1D3B31E6-5EC7-4999-94A5-477A303C39BE}" name="Region" dataDxfId="5">
      <calculatedColumnFormula>VLOOKUP(GeobyClient[[#This Row],[GEOID]],GEONames[[GEOID]:[GEO NAME]],2,FALSE)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814EFC-C06B-43C7-89CA-9C8276C22D93}" name="GEONames" displayName="GEONames" ref="K1:M6" totalsRowCount="1">
  <autoFilter ref="K1:M5" xr:uid="{D9814EFC-C06B-43C7-89CA-9C8276C22D93}"/>
  <tableColumns count="3">
    <tableColumn id="1" xr3:uid="{B5FC7DF6-B977-4D91-9571-6D18AB5D1340}" name="GEOID" dataDxfId="4" totalsRowDxfId="3"/>
    <tableColumn id="2" xr3:uid="{85B45E3F-7764-4CAB-B8AD-FC5FFD7E4AA3}" name="GEO NAME" totalsRowDxfId="2"/>
    <tableColumn id="3" xr3:uid="{C1328CCC-FE1E-49C1-B8A2-B1DACBBC83D0}" name="Volume" totalsRowFunction="sum" dataDxfId="1" totalsRowDxfId="0" dataCellStyle="Comma" totalsRowCellStyle="Comma">
      <calculatedColumnFormula>SUMIFS(VolumebyClient[Vol],VolumebyClient[Index Match Region ID],GEONames[[#This Row],[GEOID]])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EF340-377D-43B0-A32D-A2F3BF14766B}">
  <dimension ref="A1:G16"/>
  <sheetViews>
    <sheetView showGridLines="0" workbookViewId="0">
      <selection activeCell="E20" sqref="E20"/>
    </sheetView>
  </sheetViews>
  <sheetFormatPr defaultRowHeight="13.15" customHeight="1" x14ac:dyDescent="0.2"/>
  <sheetData>
    <row r="1" spans="1:7" ht="13.15" customHeight="1" x14ac:dyDescent="0.2">
      <c r="A1" s="62" t="s">
        <v>114</v>
      </c>
      <c r="B1" s="62"/>
      <c r="C1" s="62"/>
      <c r="D1" s="62"/>
      <c r="E1" s="62"/>
      <c r="F1" s="62"/>
      <c r="G1" s="62"/>
    </row>
    <row r="2" spans="1:7" ht="13.15" customHeight="1" x14ac:dyDescent="0.2">
      <c r="A2" s="62"/>
      <c r="B2" s="62"/>
      <c r="C2" s="62"/>
      <c r="D2" s="62"/>
      <c r="E2" s="62"/>
      <c r="F2" s="62"/>
      <c r="G2" s="62"/>
    </row>
    <row r="3" spans="1:7" ht="13.15" customHeight="1" x14ac:dyDescent="0.2">
      <c r="A3" s="62"/>
      <c r="B3" s="62"/>
      <c r="C3" s="62"/>
      <c r="D3" s="62"/>
      <c r="E3" s="62"/>
      <c r="F3" s="62"/>
      <c r="G3" s="62"/>
    </row>
    <row r="4" spans="1:7" ht="13.15" customHeight="1" x14ac:dyDescent="0.2">
      <c r="A4" s="62"/>
      <c r="B4" s="62"/>
      <c r="C4" s="62"/>
      <c r="D4" s="62"/>
      <c r="E4" s="62"/>
      <c r="F4" s="62"/>
      <c r="G4" s="62"/>
    </row>
    <row r="5" spans="1:7" ht="13.15" customHeight="1" x14ac:dyDescent="0.2">
      <c r="A5" s="62"/>
      <c r="B5" s="62"/>
      <c r="C5" s="62"/>
      <c r="D5" s="62"/>
      <c r="E5" s="62"/>
      <c r="F5" s="62"/>
      <c r="G5" s="62"/>
    </row>
    <row r="6" spans="1:7" ht="13.15" customHeight="1" x14ac:dyDescent="0.2">
      <c r="A6" s="62"/>
      <c r="B6" s="62"/>
      <c r="C6" s="62"/>
      <c r="D6" s="62"/>
      <c r="E6" s="62"/>
      <c r="F6" s="62"/>
      <c r="G6" s="62"/>
    </row>
    <row r="7" spans="1:7" ht="13.15" customHeight="1" x14ac:dyDescent="0.2">
      <c r="A7" s="62"/>
      <c r="B7" s="62"/>
      <c r="C7" s="62"/>
      <c r="D7" s="62"/>
      <c r="E7" s="62"/>
      <c r="F7" s="62"/>
      <c r="G7" s="62"/>
    </row>
    <row r="8" spans="1:7" ht="13.15" customHeight="1" x14ac:dyDescent="0.2">
      <c r="A8" s="62"/>
      <c r="B8" s="62"/>
      <c r="C8" s="62"/>
      <c r="D8" s="62"/>
      <c r="E8" s="62"/>
      <c r="F8" s="62"/>
      <c r="G8" s="62"/>
    </row>
    <row r="9" spans="1:7" ht="13.15" customHeight="1" x14ac:dyDescent="0.2">
      <c r="A9" s="62"/>
      <c r="B9" s="62"/>
      <c r="C9" s="62"/>
      <c r="D9" s="62"/>
      <c r="E9" s="62"/>
      <c r="F9" s="62"/>
      <c r="G9" s="62"/>
    </row>
    <row r="10" spans="1:7" ht="13.15" customHeight="1" x14ac:dyDescent="0.2">
      <c r="A10" s="62"/>
      <c r="B10" s="62"/>
      <c r="C10" s="62"/>
      <c r="D10" s="62"/>
      <c r="E10" s="62"/>
      <c r="F10" s="62"/>
      <c r="G10" s="62"/>
    </row>
    <row r="11" spans="1:7" ht="13.15" customHeight="1" x14ac:dyDescent="0.2">
      <c r="A11" s="62"/>
      <c r="B11" s="62"/>
      <c r="C11" s="62"/>
      <c r="D11" s="62"/>
      <c r="E11" s="62"/>
      <c r="F11" s="62"/>
      <c r="G11" s="62"/>
    </row>
    <row r="12" spans="1:7" ht="13.15" customHeight="1" x14ac:dyDescent="0.2">
      <c r="A12" s="62"/>
      <c r="B12" s="62"/>
      <c r="C12" s="62"/>
      <c r="D12" s="62"/>
      <c r="E12" s="62"/>
      <c r="F12" s="62"/>
      <c r="G12" s="62"/>
    </row>
    <row r="13" spans="1:7" ht="13.15" customHeight="1" x14ac:dyDescent="0.2">
      <c r="A13" s="62"/>
      <c r="B13" s="62"/>
      <c r="C13" s="62"/>
      <c r="D13" s="62"/>
      <c r="E13" s="62"/>
      <c r="F13" s="62"/>
      <c r="G13" s="62"/>
    </row>
    <row r="14" spans="1:7" ht="13.15" customHeight="1" x14ac:dyDescent="0.2">
      <c r="A14" s="62"/>
      <c r="B14" s="62"/>
      <c r="C14" s="62"/>
      <c r="D14" s="62"/>
      <c r="E14" s="62"/>
      <c r="F14" s="62"/>
      <c r="G14" s="62"/>
    </row>
    <row r="15" spans="1:7" ht="13.15" customHeight="1" x14ac:dyDescent="0.2">
      <c r="A15" s="62"/>
      <c r="B15" s="62"/>
      <c r="C15" s="62"/>
      <c r="D15" s="62"/>
      <c r="E15" s="62"/>
      <c r="F15" s="62"/>
      <c r="G15" s="62"/>
    </row>
    <row r="16" spans="1:7" ht="13.15" customHeight="1" x14ac:dyDescent="0.2">
      <c r="A16" s="62"/>
      <c r="B16" s="62"/>
      <c r="C16" s="62"/>
      <c r="D16" s="62"/>
      <c r="E16" s="62"/>
      <c r="F16" s="62"/>
      <c r="G16" s="62"/>
    </row>
  </sheetData>
  <mergeCells count="1">
    <mergeCell ref="A1:G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BF71-8179-463E-9B7C-3A12EE0536B8}">
  <dimension ref="A3:T136"/>
  <sheetViews>
    <sheetView zoomScaleNormal="100" workbookViewId="0">
      <selection activeCell="C119" sqref="C119"/>
    </sheetView>
  </sheetViews>
  <sheetFormatPr defaultRowHeight="12.75" x14ac:dyDescent="0.2"/>
  <cols>
    <col min="1" max="1" width="13.85546875" bestFit="1" customWidth="1"/>
    <col min="2" max="2" width="14.7109375" bestFit="1" customWidth="1"/>
    <col min="3" max="6" width="11" bestFit="1" customWidth="1"/>
    <col min="7" max="7" width="10.28515625" bestFit="1" customWidth="1"/>
    <col min="8" max="9" width="8.7109375" bestFit="1" customWidth="1"/>
    <col min="10" max="10" width="10.28515625" bestFit="1" customWidth="1"/>
    <col min="11" max="11" width="12.140625" bestFit="1" customWidth="1"/>
    <col min="12" max="12" width="11.5703125" bestFit="1" customWidth="1"/>
    <col min="13" max="13" width="9.28515625" bestFit="1" customWidth="1"/>
    <col min="14" max="15" width="8.7109375" bestFit="1" customWidth="1"/>
    <col min="16" max="16" width="11.28515625" bestFit="1" customWidth="1"/>
    <col min="17" max="17" width="9.28515625" style="11" bestFit="1" customWidth="1"/>
    <col min="18" max="19" width="11.5703125" bestFit="1" customWidth="1"/>
    <col min="20" max="20" width="7.140625" bestFit="1" customWidth="1"/>
    <col min="21" max="37" width="7.7109375" bestFit="1" customWidth="1"/>
    <col min="38" max="38" width="8.28515625" bestFit="1" customWidth="1"/>
    <col min="39" max="55" width="7.7109375" bestFit="1" customWidth="1"/>
    <col min="56" max="56" width="8" bestFit="1" customWidth="1"/>
    <col min="57" max="73" width="7.7109375" bestFit="1" customWidth="1"/>
  </cols>
  <sheetData>
    <row r="3" spans="1:5" x14ac:dyDescent="0.2">
      <c r="A3" s="15" t="s">
        <v>152</v>
      </c>
      <c r="B3" s="15" t="s">
        <v>143</v>
      </c>
    </row>
    <row r="4" spans="1:5" x14ac:dyDescent="0.2">
      <c r="A4" s="15" t="s">
        <v>141</v>
      </c>
      <c r="B4" t="s">
        <v>115</v>
      </c>
      <c r="C4" t="s">
        <v>116</v>
      </c>
      <c r="D4" t="s">
        <v>127</v>
      </c>
      <c r="E4" t="s">
        <v>126</v>
      </c>
    </row>
    <row r="5" spans="1:5" x14ac:dyDescent="0.2">
      <c r="A5" s="11" t="s">
        <v>144</v>
      </c>
      <c r="B5" s="13"/>
      <c r="C5" s="13"/>
      <c r="D5" s="13"/>
      <c r="E5" s="13"/>
    </row>
    <row r="6" spans="1:5" x14ac:dyDescent="0.2">
      <c r="A6" s="14" t="s">
        <v>148</v>
      </c>
      <c r="B6" s="13">
        <v>509419</v>
      </c>
      <c r="C6" s="13">
        <v>147852</v>
      </c>
      <c r="D6" s="13">
        <v>95736</v>
      </c>
      <c r="E6" s="13">
        <v>69053</v>
      </c>
    </row>
    <row r="7" spans="1:5" x14ac:dyDescent="0.2">
      <c r="A7" s="14" t="s">
        <v>149</v>
      </c>
      <c r="B7" s="13">
        <v>576618</v>
      </c>
      <c r="C7" s="13">
        <v>173566</v>
      </c>
      <c r="D7" s="13">
        <v>107338</v>
      </c>
      <c r="E7" s="13">
        <v>82618</v>
      </c>
    </row>
    <row r="8" spans="1:5" x14ac:dyDescent="0.2">
      <c r="A8" s="14" t="s">
        <v>150</v>
      </c>
      <c r="B8" s="13">
        <v>363694</v>
      </c>
      <c r="C8" s="13">
        <v>103536</v>
      </c>
      <c r="D8" s="13">
        <v>69198</v>
      </c>
      <c r="E8" s="13">
        <v>50574</v>
      </c>
    </row>
    <row r="9" spans="1:5" x14ac:dyDescent="0.2">
      <c r="A9" s="14" t="s">
        <v>151</v>
      </c>
      <c r="B9" s="13">
        <v>432034</v>
      </c>
      <c r="C9" s="13">
        <v>129264</v>
      </c>
      <c r="D9" s="13">
        <v>80144</v>
      </c>
      <c r="E9" s="13">
        <v>65121</v>
      </c>
    </row>
    <row r="10" spans="1:5" x14ac:dyDescent="0.2">
      <c r="A10" s="11" t="s">
        <v>146</v>
      </c>
      <c r="B10" s="13"/>
      <c r="C10" s="13"/>
      <c r="D10" s="13"/>
      <c r="E10" s="13"/>
    </row>
    <row r="11" spans="1:5" x14ac:dyDescent="0.2">
      <c r="A11" s="14" t="s">
        <v>148</v>
      </c>
      <c r="B11" s="13">
        <v>530019</v>
      </c>
      <c r="C11" s="13">
        <v>150204</v>
      </c>
      <c r="D11" s="13">
        <v>99778</v>
      </c>
      <c r="E11" s="13">
        <v>75265</v>
      </c>
    </row>
    <row r="12" spans="1:5" x14ac:dyDescent="0.2">
      <c r="A12" s="14" t="s">
        <v>149</v>
      </c>
      <c r="B12" s="13">
        <v>596502</v>
      </c>
      <c r="C12" s="13">
        <v>176338</v>
      </c>
      <c r="D12" s="13">
        <v>109811</v>
      </c>
      <c r="E12" s="13">
        <v>82631</v>
      </c>
    </row>
    <row r="13" spans="1:5" x14ac:dyDescent="0.2">
      <c r="A13" s="11" t="s">
        <v>142</v>
      </c>
      <c r="B13" s="13">
        <v>3008286</v>
      </c>
      <c r="C13" s="13">
        <v>880760</v>
      </c>
      <c r="D13" s="13">
        <v>562005</v>
      </c>
      <c r="E13" s="13">
        <v>425262</v>
      </c>
    </row>
    <row r="38" spans="1:20" x14ac:dyDescent="0.2">
      <c r="A38" s="15" t="s">
        <v>152</v>
      </c>
      <c r="B38" s="15" t="s">
        <v>143</v>
      </c>
    </row>
    <row r="39" spans="1:20" x14ac:dyDescent="0.2">
      <c r="B39" t="s">
        <v>144</v>
      </c>
      <c r="F39" t="s">
        <v>146</v>
      </c>
    </row>
    <row r="40" spans="1:20" x14ac:dyDescent="0.2">
      <c r="B40" t="s">
        <v>148</v>
      </c>
      <c r="C40" t="s">
        <v>149</v>
      </c>
      <c r="D40" t="s">
        <v>150</v>
      </c>
      <c r="E40" t="s">
        <v>151</v>
      </c>
      <c r="F40" t="s">
        <v>148</v>
      </c>
      <c r="G40" t="s">
        <v>149</v>
      </c>
      <c r="J40" t="s">
        <v>153</v>
      </c>
      <c r="M40" t="s">
        <v>156</v>
      </c>
    </row>
    <row r="41" spans="1:20" x14ac:dyDescent="0.2">
      <c r="A41" s="15" t="s">
        <v>141</v>
      </c>
      <c r="J41" t="s">
        <v>154</v>
      </c>
      <c r="K41" t="s">
        <v>155</v>
      </c>
      <c r="M41" t="s">
        <v>154</v>
      </c>
      <c r="N41" t="s">
        <v>155</v>
      </c>
      <c r="P41" t="s">
        <v>157</v>
      </c>
    </row>
    <row r="42" spans="1:20" x14ac:dyDescent="0.2">
      <c r="A42" s="11" t="s">
        <v>115</v>
      </c>
      <c r="B42" s="13">
        <v>509419</v>
      </c>
      <c r="C42" s="13">
        <v>576618</v>
      </c>
      <c r="D42" s="13">
        <v>363694</v>
      </c>
      <c r="E42" s="13">
        <v>432034</v>
      </c>
      <c r="F42" s="13">
        <v>530019</v>
      </c>
      <c r="G42" s="13">
        <v>596502</v>
      </c>
      <c r="I42" s="30" t="s">
        <v>115</v>
      </c>
      <c r="J42" s="17">
        <f>F42-B42</f>
        <v>20600</v>
      </c>
      <c r="K42" s="18">
        <f>F42/B42-1</f>
        <v>4.0438224722674221E-2</v>
      </c>
      <c r="M42" s="17">
        <f>G42-C42</f>
        <v>19884</v>
      </c>
      <c r="N42" s="18">
        <f>G42/C42-1</f>
        <v>3.4483835051975387E-2</v>
      </c>
      <c r="P42" s="13">
        <f>C42/(1-K42)</f>
        <v>600918.05953123746</v>
      </c>
      <c r="Q42" s="20">
        <f>P42/$P$46</f>
        <v>0.61336055121642019</v>
      </c>
      <c r="R42" s="13">
        <f>P42-G42</f>
        <v>4416.0595312374644</v>
      </c>
      <c r="S42" s="20">
        <f>R42/$R$46</f>
        <v>0.30598596603620037</v>
      </c>
    </row>
    <row r="43" spans="1:20" x14ac:dyDescent="0.2">
      <c r="A43" s="11" t="s">
        <v>116</v>
      </c>
      <c r="B43" s="13">
        <v>147852</v>
      </c>
      <c r="C43" s="13">
        <v>173566</v>
      </c>
      <c r="D43" s="13">
        <v>103536</v>
      </c>
      <c r="E43" s="13">
        <v>129264</v>
      </c>
      <c r="F43" s="13">
        <v>150204</v>
      </c>
      <c r="G43" s="13">
        <v>176338</v>
      </c>
      <c r="I43" s="30" t="s">
        <v>116</v>
      </c>
      <c r="J43" s="17">
        <f t="shared" ref="J43:J46" si="0">F43-B43</f>
        <v>2352</v>
      </c>
      <c r="K43" s="18">
        <f t="shared" ref="K43:K46" si="1">F43/B43-1</f>
        <v>1.5907799691583513E-2</v>
      </c>
      <c r="M43" s="17">
        <f t="shared" ref="M43:M46" si="2">G43-C43</f>
        <v>2772</v>
      </c>
      <c r="N43" s="18">
        <f t="shared" ref="N43:N46" si="3">G43/C43-1</f>
        <v>1.5970869870827187E-2</v>
      </c>
      <c r="P43" s="13">
        <f t="shared" ref="P43:P46" si="4">C43/(1-K43)</f>
        <v>176371.68544329898</v>
      </c>
      <c r="Q43" s="20">
        <f>P43/$P$46</f>
        <v>0.18002360302976958</v>
      </c>
      <c r="R43" s="13">
        <f>P43-G43</f>
        <v>33.685443298978498</v>
      </c>
      <c r="S43" s="20">
        <f>R43/$R$46</f>
        <v>2.334043016468868E-3</v>
      </c>
    </row>
    <row r="44" spans="1:20" x14ac:dyDescent="0.2">
      <c r="A44" s="11" t="s">
        <v>127</v>
      </c>
      <c r="B44" s="13">
        <v>95736</v>
      </c>
      <c r="C44" s="13">
        <v>107338</v>
      </c>
      <c r="D44" s="13">
        <v>69198</v>
      </c>
      <c r="E44" s="13">
        <v>80144</v>
      </c>
      <c r="F44" s="13">
        <v>99778</v>
      </c>
      <c r="G44" s="13">
        <v>109811</v>
      </c>
      <c r="I44" s="30" t="s">
        <v>127</v>
      </c>
      <c r="J44" s="17">
        <f t="shared" si="0"/>
        <v>4042</v>
      </c>
      <c r="K44" s="18">
        <f t="shared" si="1"/>
        <v>4.2220272415810056E-2</v>
      </c>
      <c r="M44" s="17">
        <f t="shared" si="2"/>
        <v>2473</v>
      </c>
      <c r="N44" s="18">
        <f t="shared" si="3"/>
        <v>2.3039370959026639E-2</v>
      </c>
      <c r="P44" s="13">
        <f t="shared" si="4"/>
        <v>112069.60944009421</v>
      </c>
      <c r="Q44" s="20">
        <f>P44/$P$46</f>
        <v>0.11439010083073041</v>
      </c>
      <c r="R44" s="13">
        <f>P44-G44</f>
        <v>2258.6094400942093</v>
      </c>
      <c r="S44" s="20">
        <f>R44/$R$46</f>
        <v>0.15649761660528339</v>
      </c>
    </row>
    <row r="45" spans="1:20" x14ac:dyDescent="0.2">
      <c r="A45" s="11" t="s">
        <v>126</v>
      </c>
      <c r="B45" s="13">
        <v>69053</v>
      </c>
      <c r="C45" s="13">
        <v>82618</v>
      </c>
      <c r="D45" s="13">
        <v>50574</v>
      </c>
      <c r="E45" s="13">
        <v>65121</v>
      </c>
      <c r="F45" s="13">
        <v>75265</v>
      </c>
      <c r="G45" s="13">
        <v>82631</v>
      </c>
      <c r="I45" s="30" t="s">
        <v>126</v>
      </c>
      <c r="J45" s="17">
        <f t="shared" si="0"/>
        <v>6212</v>
      </c>
      <c r="K45" s="18">
        <f t="shared" si="1"/>
        <v>8.9959885884755231E-2</v>
      </c>
      <c r="M45" s="17">
        <f t="shared" si="2"/>
        <v>13</v>
      </c>
      <c r="N45" s="18">
        <f t="shared" si="3"/>
        <v>1.5735069839495353E-4</v>
      </c>
      <c r="P45" s="13">
        <f t="shared" si="4"/>
        <v>90785.009054598122</v>
      </c>
      <c r="Q45" s="20">
        <f>P45/$P$46</f>
        <v>9.2664785677025227E-2</v>
      </c>
      <c r="R45" s="13">
        <f>P45-G45</f>
        <v>8154.009054598122</v>
      </c>
      <c r="S45" s="20">
        <f>R45/$R$46</f>
        <v>0.56498611941039234</v>
      </c>
      <c r="T45" s="3" t="s">
        <v>164</v>
      </c>
    </row>
    <row r="46" spans="1:20" x14ac:dyDescent="0.2">
      <c r="A46" s="11" t="s">
        <v>142</v>
      </c>
      <c r="B46" s="13">
        <v>822060</v>
      </c>
      <c r="C46" s="13">
        <v>940140</v>
      </c>
      <c r="D46" s="13">
        <v>587002</v>
      </c>
      <c r="E46" s="13">
        <v>706563</v>
      </c>
      <c r="F46" s="13">
        <v>855266</v>
      </c>
      <c r="G46" s="13">
        <v>965282</v>
      </c>
      <c r="J46" s="17">
        <f t="shared" si="0"/>
        <v>33206</v>
      </c>
      <c r="K46" s="18">
        <f t="shared" si="1"/>
        <v>4.0393645232708053E-2</v>
      </c>
      <c r="M46" s="17">
        <f t="shared" si="2"/>
        <v>25142</v>
      </c>
      <c r="N46" s="18">
        <f t="shared" si="3"/>
        <v>2.6742825536622217E-2</v>
      </c>
      <c r="P46" s="13">
        <f t="shared" si="4"/>
        <v>979714.22899547953</v>
      </c>
      <c r="Q46" s="20">
        <f>P46/$P$46</f>
        <v>1</v>
      </c>
      <c r="R46" s="13">
        <f>P46-G46</f>
        <v>14432.228995479527</v>
      </c>
      <c r="S46" s="20">
        <f>R46/$R$46</f>
        <v>1</v>
      </c>
    </row>
    <row r="47" spans="1:20" x14ac:dyDescent="0.2">
      <c r="T47" s="3" t="s">
        <v>165</v>
      </c>
    </row>
    <row r="48" spans="1:20" x14ac:dyDescent="0.2">
      <c r="T48" s="3" t="s">
        <v>166</v>
      </c>
    </row>
    <row r="49" spans="1:20" x14ac:dyDescent="0.2">
      <c r="T49" s="31" t="s">
        <v>167</v>
      </c>
    </row>
    <row r="51" spans="1:20" x14ac:dyDescent="0.2">
      <c r="A51" s="12" t="s">
        <v>152</v>
      </c>
      <c r="B51" s="1"/>
      <c r="C51" s="12" t="s">
        <v>158</v>
      </c>
      <c r="D51" s="12" t="s">
        <v>159</v>
      </c>
      <c r="E51" s="12" t="s">
        <v>58</v>
      </c>
      <c r="F51" s="1"/>
      <c r="G51" s="1"/>
      <c r="H51" s="1"/>
      <c r="I51" s="1"/>
      <c r="J51" s="1"/>
    </row>
    <row r="52" spans="1:20" x14ac:dyDescent="0.2">
      <c r="A52" s="1"/>
      <c r="B52" s="1"/>
      <c r="C52" s="1" t="s">
        <v>144</v>
      </c>
      <c r="D52" s="1" t="s">
        <v>144</v>
      </c>
      <c r="E52" s="1" t="s">
        <v>144</v>
      </c>
      <c r="F52" s="1" t="s">
        <v>144</v>
      </c>
      <c r="G52" s="1" t="s">
        <v>145</v>
      </c>
      <c r="H52" s="1" t="s">
        <v>146</v>
      </c>
      <c r="I52" s="1" t="s">
        <v>146</v>
      </c>
      <c r="J52" s="1" t="s">
        <v>147</v>
      </c>
    </row>
    <row r="53" spans="1:20" x14ac:dyDescent="0.2">
      <c r="A53" s="1"/>
      <c r="B53" s="1"/>
      <c r="C53" s="1" t="s">
        <v>148</v>
      </c>
      <c r="D53" s="1" t="s">
        <v>149</v>
      </c>
      <c r="E53" s="1" t="s">
        <v>150</v>
      </c>
      <c r="F53" s="1" t="s">
        <v>151</v>
      </c>
      <c r="G53" s="1"/>
      <c r="H53" s="1" t="s">
        <v>148</v>
      </c>
      <c r="I53" s="1" t="s">
        <v>149</v>
      </c>
      <c r="J53" s="1"/>
    </row>
    <row r="54" spans="1:20" x14ac:dyDescent="0.2">
      <c r="A54" s="12" t="s">
        <v>128</v>
      </c>
      <c r="B54" s="12" t="s">
        <v>0</v>
      </c>
      <c r="C54" s="1"/>
      <c r="D54" s="1"/>
      <c r="E54" s="1"/>
      <c r="F54" s="1"/>
      <c r="G54" s="1"/>
      <c r="H54" s="1"/>
      <c r="I54" s="1"/>
      <c r="J54" s="1"/>
    </row>
    <row r="55" spans="1:20" x14ac:dyDescent="0.2">
      <c r="A55" s="1" t="s">
        <v>115</v>
      </c>
      <c r="B55" s="1" t="s">
        <v>7</v>
      </c>
      <c r="C55" s="7">
        <v>95153</v>
      </c>
      <c r="D55" s="7">
        <v>101946</v>
      </c>
      <c r="E55" s="7">
        <v>67976</v>
      </c>
      <c r="F55" s="7">
        <v>74763</v>
      </c>
      <c r="G55" s="7">
        <v>339838</v>
      </c>
      <c r="H55" s="7">
        <v>98412</v>
      </c>
      <c r="I55" s="7">
        <v>105213</v>
      </c>
      <c r="J55" s="7">
        <v>203625</v>
      </c>
      <c r="L55" s="29">
        <f>I55/D55-1</f>
        <v>3.2046377493967437E-2</v>
      </c>
    </row>
    <row r="56" spans="1:20" x14ac:dyDescent="0.2">
      <c r="A56" s="1" t="s">
        <v>115</v>
      </c>
      <c r="B56" s="1" t="s">
        <v>1</v>
      </c>
      <c r="C56" s="7">
        <v>87224</v>
      </c>
      <c r="D56" s="7">
        <v>93457</v>
      </c>
      <c r="E56" s="7">
        <v>62305</v>
      </c>
      <c r="F56" s="7">
        <v>68540</v>
      </c>
      <c r="G56" s="7">
        <v>311526</v>
      </c>
      <c r="H56" s="7">
        <v>89246</v>
      </c>
      <c r="I56" s="7">
        <v>94887</v>
      </c>
      <c r="J56" s="7">
        <v>184133</v>
      </c>
      <c r="L56" s="29">
        <f t="shared" ref="L56:L57" si="5">I56/D56-1</f>
        <v>1.5301154541660811E-2</v>
      </c>
    </row>
    <row r="57" spans="1:20" x14ac:dyDescent="0.2">
      <c r="A57" s="1" t="s">
        <v>115</v>
      </c>
      <c r="B57" s="1" t="s">
        <v>17</v>
      </c>
      <c r="C57" s="7">
        <v>68822</v>
      </c>
      <c r="D57" s="7">
        <v>79019</v>
      </c>
      <c r="E57" s="7">
        <v>48434</v>
      </c>
      <c r="F57" s="7">
        <v>58625</v>
      </c>
      <c r="G57" s="7">
        <v>254900</v>
      </c>
      <c r="H57" s="7">
        <v>69761</v>
      </c>
      <c r="I57" s="7">
        <v>81839</v>
      </c>
      <c r="J57" s="7">
        <v>151600</v>
      </c>
      <c r="L57" s="29">
        <f t="shared" si="5"/>
        <v>3.5687619433300899E-2</v>
      </c>
    </row>
    <row r="58" spans="1:20" x14ac:dyDescent="0.2">
      <c r="A58" s="1" t="s">
        <v>115</v>
      </c>
      <c r="B58" s="1" t="s">
        <v>36</v>
      </c>
      <c r="C58" s="7">
        <v>57353</v>
      </c>
      <c r="D58" s="7">
        <v>65847</v>
      </c>
      <c r="E58" s="7">
        <v>40364</v>
      </c>
      <c r="F58" s="7">
        <v>48865</v>
      </c>
      <c r="G58" s="7">
        <v>212429</v>
      </c>
      <c r="H58" s="7">
        <v>58740</v>
      </c>
      <c r="I58" s="7">
        <v>67226</v>
      </c>
      <c r="J58" s="7">
        <v>125966</v>
      </c>
    </row>
    <row r="59" spans="1:20" x14ac:dyDescent="0.2">
      <c r="A59" s="1" t="s">
        <v>115</v>
      </c>
      <c r="B59" s="1" t="s">
        <v>3</v>
      </c>
      <c r="C59" s="7">
        <v>51543</v>
      </c>
      <c r="D59" s="7">
        <v>63438</v>
      </c>
      <c r="E59" s="7">
        <v>35691</v>
      </c>
      <c r="F59" s="7">
        <v>47581</v>
      </c>
      <c r="G59" s="7">
        <v>198253</v>
      </c>
      <c r="H59" s="7">
        <v>52266</v>
      </c>
      <c r="I59" s="7">
        <v>65834</v>
      </c>
      <c r="J59" s="7">
        <v>118100</v>
      </c>
    </row>
    <row r="60" spans="1:20" x14ac:dyDescent="0.2">
      <c r="A60" s="1" t="s">
        <v>115</v>
      </c>
      <c r="B60" s="1" t="s">
        <v>35</v>
      </c>
      <c r="C60" s="7">
        <v>47869</v>
      </c>
      <c r="D60" s="7">
        <v>58910</v>
      </c>
      <c r="E60" s="7">
        <v>33137</v>
      </c>
      <c r="F60" s="7">
        <v>44184</v>
      </c>
      <c r="G60" s="7">
        <v>184100</v>
      </c>
      <c r="H60" s="7">
        <v>49385</v>
      </c>
      <c r="I60" s="7">
        <v>60071</v>
      </c>
      <c r="J60" s="7">
        <v>109456</v>
      </c>
    </row>
    <row r="61" spans="1:20" x14ac:dyDescent="0.2">
      <c r="A61" s="1" t="s">
        <v>115</v>
      </c>
      <c r="B61" s="1" t="s">
        <v>21</v>
      </c>
      <c r="C61" s="7">
        <v>38242</v>
      </c>
      <c r="D61" s="7">
        <v>43900</v>
      </c>
      <c r="E61" s="7">
        <v>26910</v>
      </c>
      <c r="F61" s="7">
        <v>32575</v>
      </c>
      <c r="G61" s="7">
        <v>141627</v>
      </c>
      <c r="H61" s="7">
        <v>39302</v>
      </c>
      <c r="I61" s="7">
        <v>44111</v>
      </c>
      <c r="J61" s="7">
        <v>83413</v>
      </c>
    </row>
    <row r="62" spans="1:20" x14ac:dyDescent="0.2">
      <c r="A62" s="1" t="s">
        <v>115</v>
      </c>
      <c r="B62" s="1" t="s">
        <v>52</v>
      </c>
      <c r="C62" s="7">
        <v>20189</v>
      </c>
      <c r="D62" s="7">
        <v>20896</v>
      </c>
      <c r="E62" s="7">
        <v>14525</v>
      </c>
      <c r="F62" s="7">
        <v>15234</v>
      </c>
      <c r="G62" s="7">
        <v>70844</v>
      </c>
      <c r="H62" s="7">
        <v>20317</v>
      </c>
      <c r="I62" s="7">
        <v>21097</v>
      </c>
      <c r="J62" s="7">
        <v>41414</v>
      </c>
    </row>
    <row r="63" spans="1:20" x14ac:dyDescent="0.2">
      <c r="A63" s="1" t="s">
        <v>115</v>
      </c>
      <c r="B63" s="1" t="s">
        <v>51</v>
      </c>
      <c r="C63" s="7">
        <v>8078</v>
      </c>
      <c r="D63" s="7">
        <v>8367</v>
      </c>
      <c r="E63" s="7">
        <v>5826</v>
      </c>
      <c r="F63" s="7">
        <v>6094</v>
      </c>
      <c r="G63" s="7">
        <v>28365</v>
      </c>
      <c r="H63" s="7">
        <v>8296</v>
      </c>
      <c r="I63" s="7">
        <v>8401</v>
      </c>
      <c r="J63" s="7">
        <v>16697</v>
      </c>
    </row>
    <row r="64" spans="1:20" x14ac:dyDescent="0.2">
      <c r="A64" s="1" t="s">
        <v>115</v>
      </c>
      <c r="B64" s="1" t="s">
        <v>48</v>
      </c>
      <c r="C64" s="7">
        <v>5024</v>
      </c>
      <c r="D64" s="7">
        <v>5769</v>
      </c>
      <c r="E64" s="7">
        <v>3536</v>
      </c>
      <c r="F64" s="7">
        <v>4278</v>
      </c>
      <c r="G64" s="7">
        <v>18607</v>
      </c>
      <c r="H64" s="7">
        <v>5035</v>
      </c>
      <c r="I64" s="7">
        <v>5895</v>
      </c>
      <c r="J64" s="7">
        <v>10930</v>
      </c>
    </row>
    <row r="65" spans="1:12" x14ac:dyDescent="0.2">
      <c r="A65" s="1" t="s">
        <v>115</v>
      </c>
      <c r="B65" s="1" t="s">
        <v>47</v>
      </c>
      <c r="C65" s="7">
        <v>4798</v>
      </c>
      <c r="D65" s="7">
        <v>5696</v>
      </c>
      <c r="E65" s="7">
        <v>3354</v>
      </c>
      <c r="F65" s="7">
        <v>4261</v>
      </c>
      <c r="G65" s="7">
        <v>18109</v>
      </c>
      <c r="H65" s="7">
        <v>4844</v>
      </c>
      <c r="I65" s="7">
        <v>5860</v>
      </c>
      <c r="J65" s="7">
        <v>10704</v>
      </c>
    </row>
    <row r="66" spans="1:12" x14ac:dyDescent="0.2">
      <c r="A66" s="1" t="s">
        <v>115</v>
      </c>
      <c r="B66" s="1" t="s">
        <v>46</v>
      </c>
      <c r="C66" s="7">
        <v>4934</v>
      </c>
      <c r="D66" s="7">
        <v>5281</v>
      </c>
      <c r="E66" s="7">
        <v>3520</v>
      </c>
      <c r="F66" s="7">
        <v>3875</v>
      </c>
      <c r="G66" s="7">
        <v>17610</v>
      </c>
      <c r="H66" s="7">
        <v>5039</v>
      </c>
      <c r="I66" s="7">
        <v>5432</v>
      </c>
      <c r="J66" s="7">
        <v>10471</v>
      </c>
    </row>
    <row r="67" spans="1:12" x14ac:dyDescent="0.2">
      <c r="A67" s="1" t="s">
        <v>115</v>
      </c>
      <c r="B67" s="1" t="s">
        <v>45</v>
      </c>
      <c r="C67" s="7">
        <v>4533</v>
      </c>
      <c r="D67" s="7">
        <v>5388</v>
      </c>
      <c r="E67" s="7">
        <v>3167</v>
      </c>
      <c r="F67" s="7">
        <v>4019</v>
      </c>
      <c r="G67" s="7">
        <v>17107</v>
      </c>
      <c r="H67" s="7">
        <v>4623</v>
      </c>
      <c r="I67" s="7">
        <v>5591</v>
      </c>
      <c r="J67" s="7">
        <v>10214</v>
      </c>
    </row>
    <row r="68" spans="1:12" x14ac:dyDescent="0.2">
      <c r="A68" s="1" t="s">
        <v>115</v>
      </c>
      <c r="B68" s="1" t="s">
        <v>38</v>
      </c>
      <c r="C68" s="7">
        <v>3809</v>
      </c>
      <c r="D68" s="7">
        <v>4363</v>
      </c>
      <c r="E68" s="7">
        <v>2684</v>
      </c>
      <c r="F68" s="7">
        <v>3246</v>
      </c>
      <c r="G68" s="7">
        <v>14102</v>
      </c>
      <c r="H68" s="7">
        <v>3775</v>
      </c>
      <c r="I68" s="7">
        <v>4424</v>
      </c>
      <c r="J68" s="7">
        <v>8199</v>
      </c>
    </row>
    <row r="69" spans="1:12" x14ac:dyDescent="0.2">
      <c r="A69" s="1" t="s">
        <v>115</v>
      </c>
      <c r="B69" s="1" t="s">
        <v>49</v>
      </c>
      <c r="C69" s="7"/>
      <c r="D69" s="7">
        <v>1342</v>
      </c>
      <c r="E69" s="7">
        <v>3824</v>
      </c>
      <c r="F69" s="7">
        <v>4213</v>
      </c>
      <c r="G69" s="7">
        <v>9379</v>
      </c>
      <c r="H69" s="7">
        <v>5531</v>
      </c>
      <c r="I69" s="7">
        <v>5817</v>
      </c>
      <c r="J69" s="7">
        <v>11348</v>
      </c>
    </row>
    <row r="70" spans="1:12" x14ac:dyDescent="0.2">
      <c r="A70" s="1" t="s">
        <v>115</v>
      </c>
      <c r="B70" s="1" t="s">
        <v>33</v>
      </c>
      <c r="C70" s="7">
        <v>3584</v>
      </c>
      <c r="D70" s="7">
        <v>3716</v>
      </c>
      <c r="E70" s="7">
        <v>2587</v>
      </c>
      <c r="F70" s="7">
        <v>2713</v>
      </c>
      <c r="G70" s="7">
        <v>12600</v>
      </c>
      <c r="H70" s="7">
        <v>3613</v>
      </c>
      <c r="I70" s="7">
        <v>3743</v>
      </c>
      <c r="J70" s="7">
        <v>7356</v>
      </c>
    </row>
    <row r="71" spans="1:12" x14ac:dyDescent="0.2">
      <c r="A71" s="1" t="s">
        <v>115</v>
      </c>
      <c r="B71" s="1" t="s">
        <v>37</v>
      </c>
      <c r="C71" s="7">
        <v>3673</v>
      </c>
      <c r="D71" s="7">
        <v>4216</v>
      </c>
      <c r="E71" s="7">
        <v>2588</v>
      </c>
      <c r="F71" s="7">
        <v>3131</v>
      </c>
      <c r="G71" s="7">
        <v>13608</v>
      </c>
      <c r="H71" s="7">
        <v>3759</v>
      </c>
      <c r="I71" s="7">
        <v>1614</v>
      </c>
      <c r="J71" s="7">
        <v>5373</v>
      </c>
    </row>
    <row r="72" spans="1:12" x14ac:dyDescent="0.2">
      <c r="A72" s="1" t="s">
        <v>115</v>
      </c>
      <c r="B72" s="1" t="s">
        <v>26</v>
      </c>
      <c r="C72" s="7">
        <v>2680</v>
      </c>
      <c r="D72" s="7">
        <v>2873</v>
      </c>
      <c r="E72" s="7">
        <v>1919</v>
      </c>
      <c r="F72" s="7">
        <v>2114</v>
      </c>
      <c r="G72" s="7">
        <v>9586</v>
      </c>
      <c r="H72" s="7">
        <v>2699</v>
      </c>
      <c r="I72" s="7">
        <v>2912</v>
      </c>
      <c r="J72" s="7">
        <v>5611</v>
      </c>
    </row>
    <row r="73" spans="1:12" x14ac:dyDescent="0.2">
      <c r="A73" s="1" t="s">
        <v>115</v>
      </c>
      <c r="B73" s="1" t="s">
        <v>19</v>
      </c>
      <c r="C73" s="7">
        <v>1911</v>
      </c>
      <c r="D73" s="7">
        <v>2194</v>
      </c>
      <c r="E73" s="7">
        <v>1347</v>
      </c>
      <c r="F73" s="7">
        <v>1631</v>
      </c>
      <c r="G73" s="7">
        <v>7083</v>
      </c>
      <c r="H73" s="7">
        <v>1911</v>
      </c>
      <c r="I73" s="7">
        <v>2214</v>
      </c>
      <c r="J73" s="7">
        <v>4125</v>
      </c>
    </row>
    <row r="74" spans="1:12" x14ac:dyDescent="0.2">
      <c r="A74" s="1" t="s">
        <v>115</v>
      </c>
      <c r="B74" s="1" t="s">
        <v>34</v>
      </c>
      <c r="C74" s="7"/>
      <c r="D74" s="7"/>
      <c r="E74" s="7"/>
      <c r="F74" s="7">
        <v>2092</v>
      </c>
      <c r="G74" s="7">
        <v>2092</v>
      </c>
      <c r="H74" s="7">
        <v>3465</v>
      </c>
      <c r="I74" s="7">
        <v>4321</v>
      </c>
      <c r="J74" s="7">
        <v>7786</v>
      </c>
    </row>
    <row r="75" spans="1:12" x14ac:dyDescent="0.2">
      <c r="A75" s="1" t="s">
        <v>160</v>
      </c>
      <c r="B75" s="1"/>
      <c r="C75" s="7">
        <v>509419</v>
      </c>
      <c r="D75" s="7">
        <v>576618</v>
      </c>
      <c r="E75" s="7">
        <v>363694</v>
      </c>
      <c r="F75" s="7">
        <v>432034</v>
      </c>
      <c r="G75" s="7">
        <v>1881765</v>
      </c>
      <c r="H75" s="7">
        <v>530019</v>
      </c>
      <c r="I75" s="7">
        <v>596502</v>
      </c>
      <c r="J75" s="7">
        <v>1126521</v>
      </c>
    </row>
    <row r="76" spans="1:12" x14ac:dyDescent="0.2">
      <c r="A76" s="1" t="s">
        <v>116</v>
      </c>
      <c r="B76" s="1" t="s">
        <v>20</v>
      </c>
      <c r="C76" s="7">
        <v>73638</v>
      </c>
      <c r="D76" s="7">
        <v>90624</v>
      </c>
      <c r="E76" s="7">
        <v>50984</v>
      </c>
      <c r="F76" s="7">
        <v>67962</v>
      </c>
      <c r="G76" s="7">
        <v>283208</v>
      </c>
      <c r="H76" s="7">
        <v>74564</v>
      </c>
      <c r="I76" s="7">
        <v>91867</v>
      </c>
      <c r="J76" s="7">
        <v>166431</v>
      </c>
      <c r="L76" s="29">
        <f>I76/D76-1</f>
        <v>1.3716013418079154E-2</v>
      </c>
    </row>
    <row r="77" spans="1:12" x14ac:dyDescent="0.2">
      <c r="A77" s="1" t="s">
        <v>116</v>
      </c>
      <c r="B77" s="1" t="s">
        <v>27</v>
      </c>
      <c r="C77" s="7">
        <v>62302</v>
      </c>
      <c r="D77" s="7">
        <v>69102</v>
      </c>
      <c r="E77" s="7">
        <v>44184</v>
      </c>
      <c r="F77" s="7">
        <v>50976</v>
      </c>
      <c r="G77" s="7">
        <v>226564</v>
      </c>
      <c r="H77" s="7">
        <v>63613</v>
      </c>
      <c r="I77" s="7">
        <v>71175</v>
      </c>
      <c r="J77" s="7">
        <v>134788</v>
      </c>
      <c r="L77" s="29">
        <f t="shared" ref="L77:L78" si="6">I77/D77-1</f>
        <v>2.9999131718329464E-2</v>
      </c>
    </row>
    <row r="78" spans="1:12" x14ac:dyDescent="0.2">
      <c r="A78" s="1" t="s">
        <v>116</v>
      </c>
      <c r="B78" s="1" t="s">
        <v>32</v>
      </c>
      <c r="C78" s="7">
        <v>3264</v>
      </c>
      <c r="D78" s="7">
        <v>3740</v>
      </c>
      <c r="E78" s="7">
        <v>2301</v>
      </c>
      <c r="F78" s="7">
        <v>2784</v>
      </c>
      <c r="G78" s="7">
        <v>12089</v>
      </c>
      <c r="H78" s="7">
        <v>3295</v>
      </c>
      <c r="I78" s="7">
        <v>3738</v>
      </c>
      <c r="J78" s="7">
        <v>7033</v>
      </c>
      <c r="L78" s="29">
        <f t="shared" si="6"/>
        <v>-5.3475935828872778E-4</v>
      </c>
    </row>
    <row r="79" spans="1:12" x14ac:dyDescent="0.2">
      <c r="A79" s="1" t="s">
        <v>116</v>
      </c>
      <c r="B79" s="1" t="s">
        <v>31</v>
      </c>
      <c r="C79" s="7">
        <v>3070</v>
      </c>
      <c r="D79" s="7">
        <v>3648</v>
      </c>
      <c r="E79" s="7">
        <v>2149</v>
      </c>
      <c r="F79" s="7">
        <v>2719</v>
      </c>
      <c r="G79" s="7">
        <v>11586</v>
      </c>
      <c r="H79" s="7">
        <v>3086</v>
      </c>
      <c r="I79" s="7">
        <v>3722</v>
      </c>
      <c r="J79" s="7">
        <v>6808</v>
      </c>
    </row>
    <row r="80" spans="1:12" x14ac:dyDescent="0.2">
      <c r="A80" s="1" t="s">
        <v>116</v>
      </c>
      <c r="B80" s="1" t="s">
        <v>22</v>
      </c>
      <c r="C80" s="7">
        <v>1974</v>
      </c>
      <c r="D80" s="7">
        <v>2425</v>
      </c>
      <c r="E80" s="7">
        <v>1362</v>
      </c>
      <c r="F80" s="7">
        <v>1821</v>
      </c>
      <c r="G80" s="7">
        <v>7582</v>
      </c>
      <c r="H80" s="7">
        <v>1992</v>
      </c>
      <c r="I80" s="7">
        <v>1737</v>
      </c>
      <c r="J80" s="7">
        <v>3729</v>
      </c>
    </row>
    <row r="81" spans="1:12" x14ac:dyDescent="0.2">
      <c r="A81" s="1" t="s">
        <v>116</v>
      </c>
      <c r="B81" s="1" t="s">
        <v>18</v>
      </c>
      <c r="C81" s="7">
        <v>1877</v>
      </c>
      <c r="D81" s="7">
        <v>1932</v>
      </c>
      <c r="E81" s="7">
        <v>1352</v>
      </c>
      <c r="F81" s="7">
        <v>1420</v>
      </c>
      <c r="G81" s="7">
        <v>6581</v>
      </c>
      <c r="H81" s="7">
        <v>1891</v>
      </c>
      <c r="I81" s="7">
        <v>1943</v>
      </c>
      <c r="J81" s="7">
        <v>3834</v>
      </c>
    </row>
    <row r="82" spans="1:12" x14ac:dyDescent="0.2">
      <c r="A82" s="1" t="s">
        <v>116</v>
      </c>
      <c r="B82" s="1" t="s">
        <v>15</v>
      </c>
      <c r="C82" s="7">
        <v>1442</v>
      </c>
      <c r="D82" s="7">
        <v>1773</v>
      </c>
      <c r="E82" s="7">
        <v>1008</v>
      </c>
      <c r="F82" s="7">
        <v>1337</v>
      </c>
      <c r="G82" s="7">
        <v>5560</v>
      </c>
      <c r="H82" s="7">
        <v>1483</v>
      </c>
      <c r="I82" s="7">
        <v>1826</v>
      </c>
      <c r="J82" s="7">
        <v>3309</v>
      </c>
    </row>
    <row r="83" spans="1:12" x14ac:dyDescent="0.2">
      <c r="A83" s="1" t="s">
        <v>116</v>
      </c>
      <c r="B83" s="1" t="s">
        <v>4</v>
      </c>
      <c r="C83" s="7">
        <v>285</v>
      </c>
      <c r="D83" s="7">
        <v>322</v>
      </c>
      <c r="E83" s="7">
        <v>196</v>
      </c>
      <c r="F83" s="7">
        <v>245</v>
      </c>
      <c r="G83" s="7">
        <v>1048</v>
      </c>
      <c r="H83" s="7">
        <v>280</v>
      </c>
      <c r="I83" s="7">
        <v>330</v>
      </c>
      <c r="J83" s="7">
        <v>610</v>
      </c>
    </row>
    <row r="84" spans="1:12" x14ac:dyDescent="0.2">
      <c r="A84" s="1" t="s">
        <v>161</v>
      </c>
      <c r="B84" s="1"/>
      <c r="C84" s="7">
        <v>147852</v>
      </c>
      <c r="D84" s="7">
        <v>173566</v>
      </c>
      <c r="E84" s="7">
        <v>103536</v>
      </c>
      <c r="F84" s="7">
        <v>129264</v>
      </c>
      <c r="G84" s="7">
        <v>554218</v>
      </c>
      <c r="H84" s="7">
        <v>150204</v>
      </c>
      <c r="I84" s="7">
        <v>176338</v>
      </c>
      <c r="J84" s="7">
        <v>326542</v>
      </c>
    </row>
    <row r="85" spans="1:12" x14ac:dyDescent="0.2">
      <c r="A85" s="1" t="s">
        <v>127</v>
      </c>
      <c r="B85" s="1" t="s">
        <v>43</v>
      </c>
      <c r="C85" s="7">
        <v>45887</v>
      </c>
      <c r="D85" s="7">
        <v>52686</v>
      </c>
      <c r="E85" s="7">
        <v>32292</v>
      </c>
      <c r="F85" s="7">
        <v>39086</v>
      </c>
      <c r="G85" s="7">
        <v>169951</v>
      </c>
      <c r="H85" s="7">
        <v>47835</v>
      </c>
      <c r="I85" s="7">
        <v>53170</v>
      </c>
      <c r="J85" s="7">
        <v>101005</v>
      </c>
      <c r="L85" s="29">
        <f>I85/D85-1</f>
        <v>9.1865011578027289E-3</v>
      </c>
    </row>
    <row r="86" spans="1:12" x14ac:dyDescent="0.2">
      <c r="A86" s="1" t="s">
        <v>127</v>
      </c>
      <c r="B86" s="1" t="s">
        <v>53</v>
      </c>
      <c r="C86" s="7">
        <v>28263</v>
      </c>
      <c r="D86" s="7">
        <v>29249</v>
      </c>
      <c r="E86" s="7">
        <v>20329</v>
      </c>
      <c r="F86" s="7">
        <v>21319</v>
      </c>
      <c r="G86" s="7">
        <v>99160</v>
      </c>
      <c r="H86" s="7">
        <v>28252</v>
      </c>
      <c r="I86" s="7">
        <v>29896</v>
      </c>
      <c r="J86" s="7">
        <v>58148</v>
      </c>
      <c r="L86" s="29">
        <f t="shared" ref="L86:L88" si="7">I86/D86-1</f>
        <v>2.2120414373141051E-2</v>
      </c>
    </row>
    <row r="87" spans="1:12" x14ac:dyDescent="0.2">
      <c r="A87" s="1" t="s">
        <v>127</v>
      </c>
      <c r="B87" s="1" t="s">
        <v>42</v>
      </c>
      <c r="C87" s="7">
        <v>4269</v>
      </c>
      <c r="D87" s="7">
        <v>5070</v>
      </c>
      <c r="E87" s="7">
        <v>2987</v>
      </c>
      <c r="F87" s="7">
        <v>3779</v>
      </c>
      <c r="G87" s="7">
        <v>16105</v>
      </c>
      <c r="H87" s="7">
        <v>4356</v>
      </c>
      <c r="I87" s="7">
        <v>5246</v>
      </c>
      <c r="J87" s="7">
        <v>9602</v>
      </c>
      <c r="L87" s="29">
        <f t="shared" si="7"/>
        <v>3.4714003944773086E-2</v>
      </c>
    </row>
    <row r="88" spans="1:12" x14ac:dyDescent="0.2">
      <c r="A88" s="1" t="s">
        <v>127</v>
      </c>
      <c r="B88" s="1" t="s">
        <v>39</v>
      </c>
      <c r="C88" s="7">
        <v>4018</v>
      </c>
      <c r="D88" s="7">
        <v>4449</v>
      </c>
      <c r="E88" s="7">
        <v>2852</v>
      </c>
      <c r="F88" s="7">
        <v>3278</v>
      </c>
      <c r="G88" s="7">
        <v>14597</v>
      </c>
      <c r="H88" s="7">
        <v>4071</v>
      </c>
      <c r="I88" s="7">
        <v>4522</v>
      </c>
      <c r="J88" s="7">
        <v>8593</v>
      </c>
      <c r="L88" s="29">
        <f t="shared" si="7"/>
        <v>1.6408181613845718E-2</v>
      </c>
    </row>
    <row r="89" spans="1:12" x14ac:dyDescent="0.2">
      <c r="A89" s="1" t="s">
        <v>127</v>
      </c>
      <c r="B89" s="1" t="s">
        <v>30</v>
      </c>
      <c r="C89" s="7">
        <v>3050</v>
      </c>
      <c r="D89" s="7">
        <v>3385</v>
      </c>
      <c r="E89" s="7">
        <v>2165</v>
      </c>
      <c r="F89" s="7">
        <v>2490</v>
      </c>
      <c r="G89" s="7">
        <v>11090</v>
      </c>
      <c r="H89" s="7">
        <v>3081</v>
      </c>
      <c r="I89" s="7">
        <v>3483</v>
      </c>
      <c r="J89" s="7">
        <v>6564</v>
      </c>
      <c r="L89" s="29">
        <f>I89/D89-1</f>
        <v>2.895125553914335E-2</v>
      </c>
    </row>
    <row r="90" spans="1:12" x14ac:dyDescent="0.2">
      <c r="A90" s="1" t="s">
        <v>127</v>
      </c>
      <c r="B90" s="1" t="s">
        <v>29</v>
      </c>
      <c r="C90" s="7">
        <v>2911</v>
      </c>
      <c r="D90" s="7">
        <v>3228</v>
      </c>
      <c r="E90" s="7">
        <v>2065</v>
      </c>
      <c r="F90" s="7">
        <v>2382</v>
      </c>
      <c r="G90" s="7">
        <v>10586</v>
      </c>
      <c r="H90" s="7">
        <v>3001</v>
      </c>
      <c r="I90" s="7">
        <v>3255</v>
      </c>
      <c r="J90" s="7">
        <v>6256</v>
      </c>
    </row>
    <row r="91" spans="1:12" x14ac:dyDescent="0.2">
      <c r="A91" s="1" t="s">
        <v>127</v>
      </c>
      <c r="B91" s="1" t="s">
        <v>25</v>
      </c>
      <c r="C91" s="7">
        <v>1725</v>
      </c>
      <c r="D91" s="7">
        <v>2813</v>
      </c>
      <c r="E91" s="7">
        <v>1724</v>
      </c>
      <c r="F91" s="7">
        <v>2087</v>
      </c>
      <c r="G91" s="7">
        <v>8349</v>
      </c>
      <c r="H91" s="7">
        <v>2487</v>
      </c>
      <c r="I91" s="7">
        <v>2885</v>
      </c>
      <c r="J91" s="7">
        <v>5372</v>
      </c>
    </row>
    <row r="92" spans="1:12" x14ac:dyDescent="0.2">
      <c r="A92" s="1" t="s">
        <v>127</v>
      </c>
      <c r="B92" s="1" t="s">
        <v>24</v>
      </c>
      <c r="C92" s="7">
        <v>2272</v>
      </c>
      <c r="D92" s="7">
        <v>2699</v>
      </c>
      <c r="E92" s="7">
        <v>1590</v>
      </c>
      <c r="F92" s="7">
        <v>2014</v>
      </c>
      <c r="G92" s="7">
        <v>8575</v>
      </c>
      <c r="H92" s="7">
        <v>2351</v>
      </c>
      <c r="I92" s="7">
        <v>2772</v>
      </c>
      <c r="J92" s="7">
        <v>5123</v>
      </c>
    </row>
    <row r="93" spans="1:12" x14ac:dyDescent="0.2">
      <c r="A93" s="1" t="s">
        <v>127</v>
      </c>
      <c r="B93" s="1" t="s">
        <v>13</v>
      </c>
      <c r="C93" s="7">
        <v>1182</v>
      </c>
      <c r="D93" s="7">
        <v>1455</v>
      </c>
      <c r="E93" s="7">
        <v>823</v>
      </c>
      <c r="F93" s="7">
        <v>1096</v>
      </c>
      <c r="G93" s="7">
        <v>4556</v>
      </c>
      <c r="H93" s="7">
        <v>1193</v>
      </c>
      <c r="I93" s="7">
        <v>1459</v>
      </c>
      <c r="J93" s="7">
        <v>2652</v>
      </c>
    </row>
    <row r="94" spans="1:12" x14ac:dyDescent="0.2">
      <c r="A94" s="1" t="s">
        <v>127</v>
      </c>
      <c r="B94" s="1" t="s">
        <v>10</v>
      </c>
      <c r="C94" s="7">
        <v>858</v>
      </c>
      <c r="D94" s="7">
        <v>907</v>
      </c>
      <c r="E94" s="7">
        <v>622</v>
      </c>
      <c r="F94" s="7">
        <v>676</v>
      </c>
      <c r="G94" s="7">
        <v>3063</v>
      </c>
      <c r="H94" s="7">
        <v>871</v>
      </c>
      <c r="I94" s="7">
        <v>921</v>
      </c>
      <c r="J94" s="7">
        <v>1792</v>
      </c>
    </row>
    <row r="95" spans="1:12" x14ac:dyDescent="0.2">
      <c r="A95" s="1" t="s">
        <v>127</v>
      </c>
      <c r="B95" s="1" t="s">
        <v>12</v>
      </c>
      <c r="C95" s="7"/>
      <c r="D95" s="7"/>
      <c r="E95" s="7">
        <v>811</v>
      </c>
      <c r="F95" s="7">
        <v>896</v>
      </c>
      <c r="G95" s="7">
        <v>1707</v>
      </c>
      <c r="H95" s="7">
        <v>1132</v>
      </c>
      <c r="I95" s="7">
        <v>1254</v>
      </c>
      <c r="J95" s="7">
        <v>2386</v>
      </c>
    </row>
    <row r="96" spans="1:12" x14ac:dyDescent="0.2">
      <c r="A96" s="1" t="s">
        <v>127</v>
      </c>
      <c r="B96" s="1" t="s">
        <v>9</v>
      </c>
      <c r="C96" s="7">
        <v>705</v>
      </c>
      <c r="D96" s="7">
        <v>782</v>
      </c>
      <c r="E96" s="7">
        <v>503</v>
      </c>
      <c r="F96" s="7">
        <v>578</v>
      </c>
      <c r="G96" s="7">
        <v>2568</v>
      </c>
      <c r="H96" s="7">
        <v>716</v>
      </c>
      <c r="I96" s="7">
        <v>779</v>
      </c>
      <c r="J96" s="7">
        <v>1495</v>
      </c>
    </row>
    <row r="97" spans="1:12" x14ac:dyDescent="0.2">
      <c r="A97" s="1" t="s">
        <v>127</v>
      </c>
      <c r="B97" s="1" t="s">
        <v>5</v>
      </c>
      <c r="C97" s="7">
        <v>438</v>
      </c>
      <c r="D97" s="7">
        <v>460</v>
      </c>
      <c r="E97" s="7">
        <v>316</v>
      </c>
      <c r="F97" s="7">
        <v>339</v>
      </c>
      <c r="G97" s="7">
        <v>1553</v>
      </c>
      <c r="H97" s="7">
        <v>266</v>
      </c>
      <c r="I97" s="7"/>
      <c r="J97" s="7">
        <v>266</v>
      </c>
    </row>
    <row r="98" spans="1:12" x14ac:dyDescent="0.2">
      <c r="A98" s="1" t="s">
        <v>127</v>
      </c>
      <c r="B98" s="1" t="s">
        <v>2</v>
      </c>
      <c r="C98" s="7">
        <v>158</v>
      </c>
      <c r="D98" s="7">
        <v>155</v>
      </c>
      <c r="E98" s="7">
        <v>119</v>
      </c>
      <c r="F98" s="7">
        <v>124</v>
      </c>
      <c r="G98" s="7">
        <v>556</v>
      </c>
      <c r="H98" s="7">
        <v>166</v>
      </c>
      <c r="I98" s="7">
        <v>169</v>
      </c>
      <c r="J98" s="7">
        <v>335</v>
      </c>
    </row>
    <row r="99" spans="1:12" x14ac:dyDescent="0.2">
      <c r="A99" s="1" t="s">
        <v>162</v>
      </c>
      <c r="B99" s="1"/>
      <c r="C99" s="7">
        <v>95736</v>
      </c>
      <c r="D99" s="7">
        <v>107338</v>
      </c>
      <c r="E99" s="7">
        <v>69198</v>
      </c>
      <c r="F99" s="7">
        <v>80144</v>
      </c>
      <c r="G99" s="7">
        <v>352416</v>
      </c>
      <c r="H99" s="7">
        <v>99778</v>
      </c>
      <c r="I99" s="7">
        <v>109811</v>
      </c>
      <c r="J99" s="7">
        <v>209589</v>
      </c>
    </row>
    <row r="100" spans="1:12" x14ac:dyDescent="0.2">
      <c r="A100" s="1" t="s">
        <v>126</v>
      </c>
      <c r="B100" s="1" t="s">
        <v>8</v>
      </c>
      <c r="C100" s="7">
        <v>41282</v>
      </c>
      <c r="D100" s="7">
        <v>49071</v>
      </c>
      <c r="E100" s="7">
        <v>28827</v>
      </c>
      <c r="F100" s="7">
        <v>36607</v>
      </c>
      <c r="G100" s="7">
        <v>155787</v>
      </c>
      <c r="H100" s="7">
        <v>41985</v>
      </c>
      <c r="I100" s="7">
        <v>50429</v>
      </c>
      <c r="J100" s="7">
        <v>92414</v>
      </c>
      <c r="L100" s="29">
        <f>I100/D100-1</f>
        <v>2.7674186382996124E-2</v>
      </c>
    </row>
    <row r="101" spans="1:12" x14ac:dyDescent="0.2">
      <c r="A101" s="1" t="s">
        <v>126</v>
      </c>
      <c r="B101" s="1" t="s">
        <v>50</v>
      </c>
      <c r="C101" s="7">
        <v>11480</v>
      </c>
      <c r="D101" s="7">
        <v>13176</v>
      </c>
      <c r="E101" s="7">
        <v>8078</v>
      </c>
      <c r="F101" s="7">
        <v>9778</v>
      </c>
      <c r="G101" s="7">
        <v>42512</v>
      </c>
      <c r="H101" s="7">
        <v>11595</v>
      </c>
      <c r="I101" s="7">
        <v>13523</v>
      </c>
      <c r="J101" s="7">
        <v>25118</v>
      </c>
      <c r="L101" s="29">
        <f t="shared" ref="L101:L103" si="8">I101/D101-1</f>
        <v>2.6335761991499673E-2</v>
      </c>
    </row>
    <row r="102" spans="1:12" x14ac:dyDescent="0.2">
      <c r="A102" s="1" t="s">
        <v>126</v>
      </c>
      <c r="B102" s="1" t="s">
        <v>41</v>
      </c>
      <c r="C102" s="7">
        <v>4139</v>
      </c>
      <c r="D102" s="7">
        <v>4910</v>
      </c>
      <c r="E102" s="7">
        <v>2891</v>
      </c>
      <c r="F102" s="7">
        <v>3665</v>
      </c>
      <c r="G102" s="7">
        <v>15605</v>
      </c>
      <c r="H102" s="7">
        <v>4268</v>
      </c>
      <c r="I102" s="7">
        <v>4961</v>
      </c>
      <c r="J102" s="7">
        <v>9229</v>
      </c>
      <c r="L102" s="29">
        <f t="shared" si="8"/>
        <v>1.0386965376782076E-2</v>
      </c>
    </row>
    <row r="103" spans="1:12" x14ac:dyDescent="0.2">
      <c r="A103" s="1" t="s">
        <v>126</v>
      </c>
      <c r="B103" s="1" t="s">
        <v>40</v>
      </c>
      <c r="C103" s="7">
        <v>4076</v>
      </c>
      <c r="D103" s="7">
        <v>4680</v>
      </c>
      <c r="E103" s="7">
        <v>2879</v>
      </c>
      <c r="F103" s="7">
        <v>3476</v>
      </c>
      <c r="G103" s="7">
        <v>15111</v>
      </c>
      <c r="H103" s="7">
        <v>4222</v>
      </c>
      <c r="I103" s="7">
        <v>4678</v>
      </c>
      <c r="J103" s="7">
        <v>8900</v>
      </c>
      <c r="L103" s="29">
        <f t="shared" si="8"/>
        <v>-4.2735042735042583E-4</v>
      </c>
    </row>
    <row r="104" spans="1:12" x14ac:dyDescent="0.2">
      <c r="A104" s="1" t="s">
        <v>126</v>
      </c>
      <c r="B104" s="1" t="s">
        <v>28</v>
      </c>
      <c r="C104" s="7">
        <v>2665</v>
      </c>
      <c r="D104" s="7">
        <v>3174</v>
      </c>
      <c r="E104" s="7">
        <v>1864</v>
      </c>
      <c r="F104" s="7">
        <v>2376</v>
      </c>
      <c r="G104" s="7">
        <v>10079</v>
      </c>
      <c r="H104" s="7">
        <v>2667</v>
      </c>
      <c r="I104" s="7">
        <v>3248</v>
      </c>
      <c r="J104" s="7">
        <v>5915</v>
      </c>
    </row>
    <row r="105" spans="1:12" x14ac:dyDescent="0.2">
      <c r="A105" s="1" t="s">
        <v>126</v>
      </c>
      <c r="B105" s="1" t="s">
        <v>23</v>
      </c>
      <c r="C105" s="7">
        <v>884</v>
      </c>
      <c r="D105" s="7">
        <v>2418</v>
      </c>
      <c r="E105" s="7">
        <v>1623</v>
      </c>
      <c r="F105" s="7">
        <v>1781</v>
      </c>
      <c r="G105" s="7">
        <v>6706</v>
      </c>
      <c r="H105" s="7">
        <v>2315</v>
      </c>
      <c r="I105" s="7">
        <v>2453</v>
      </c>
      <c r="J105" s="7">
        <v>4768</v>
      </c>
    </row>
    <row r="106" spans="1:12" x14ac:dyDescent="0.2">
      <c r="A106" s="1" t="s">
        <v>126</v>
      </c>
      <c r="B106" s="1" t="s">
        <v>44</v>
      </c>
      <c r="C106" s="7"/>
      <c r="D106" s="7"/>
      <c r="E106" s="7">
        <v>1249</v>
      </c>
      <c r="F106" s="7">
        <v>3569</v>
      </c>
      <c r="G106" s="7">
        <v>4818</v>
      </c>
      <c r="H106" s="7">
        <v>4809</v>
      </c>
      <c r="I106" s="7"/>
      <c r="J106" s="7">
        <v>4809</v>
      </c>
    </row>
    <row r="107" spans="1:12" x14ac:dyDescent="0.2">
      <c r="A107" s="1" t="s">
        <v>126</v>
      </c>
      <c r="B107" s="1" t="s">
        <v>14</v>
      </c>
      <c r="C107" s="7">
        <v>1324</v>
      </c>
      <c r="D107" s="7">
        <v>1619</v>
      </c>
      <c r="E107" s="7">
        <v>913</v>
      </c>
      <c r="F107" s="7">
        <v>1211</v>
      </c>
      <c r="G107" s="7">
        <v>5067</v>
      </c>
      <c r="H107" s="7">
        <v>1336</v>
      </c>
      <c r="I107" s="7">
        <v>1636</v>
      </c>
      <c r="J107" s="7">
        <v>2972</v>
      </c>
    </row>
    <row r="108" spans="1:12" x14ac:dyDescent="0.2">
      <c r="A108" s="1" t="s">
        <v>126</v>
      </c>
      <c r="B108" s="1" t="s">
        <v>16</v>
      </c>
      <c r="C108" s="7">
        <v>1639</v>
      </c>
      <c r="D108" s="7">
        <v>1879</v>
      </c>
      <c r="E108" s="7">
        <v>1153</v>
      </c>
      <c r="F108" s="7">
        <v>1402</v>
      </c>
      <c r="G108" s="7">
        <v>6073</v>
      </c>
      <c r="H108" s="7">
        <v>483</v>
      </c>
      <c r="I108" s="7"/>
      <c r="J108" s="7">
        <v>483</v>
      </c>
    </row>
    <row r="109" spans="1:12" x14ac:dyDescent="0.2">
      <c r="A109" s="1" t="s">
        <v>126</v>
      </c>
      <c r="B109" s="1" t="s">
        <v>11</v>
      </c>
      <c r="C109" s="7">
        <v>982</v>
      </c>
      <c r="D109" s="7">
        <v>1079</v>
      </c>
      <c r="E109" s="7">
        <v>691</v>
      </c>
      <c r="F109" s="7">
        <v>806</v>
      </c>
      <c r="G109" s="7">
        <v>3558</v>
      </c>
      <c r="H109" s="7">
        <v>996</v>
      </c>
      <c r="I109" s="7">
        <v>1088</v>
      </c>
      <c r="J109" s="7">
        <v>2084</v>
      </c>
    </row>
    <row r="110" spans="1:12" x14ac:dyDescent="0.2">
      <c r="A110" s="1" t="s">
        <v>126</v>
      </c>
      <c r="B110" s="1" t="s">
        <v>6</v>
      </c>
      <c r="C110" s="7">
        <v>582</v>
      </c>
      <c r="D110" s="7">
        <v>612</v>
      </c>
      <c r="E110" s="7">
        <v>406</v>
      </c>
      <c r="F110" s="7">
        <v>450</v>
      </c>
      <c r="G110" s="7">
        <v>2050</v>
      </c>
      <c r="H110" s="7">
        <v>589</v>
      </c>
      <c r="I110" s="7">
        <v>615</v>
      </c>
      <c r="J110" s="7">
        <v>1204</v>
      </c>
    </row>
    <row r="111" spans="1:12" x14ac:dyDescent="0.2">
      <c r="A111" s="1" t="s">
        <v>163</v>
      </c>
      <c r="B111" s="1"/>
      <c r="C111" s="7">
        <v>69053</v>
      </c>
      <c r="D111" s="7">
        <v>82618</v>
      </c>
      <c r="E111" s="7">
        <v>50574</v>
      </c>
      <c r="F111" s="7">
        <v>65121</v>
      </c>
      <c r="G111" s="7">
        <v>267366</v>
      </c>
      <c r="H111" s="7">
        <v>75265</v>
      </c>
      <c r="I111" s="7">
        <v>82631</v>
      </c>
      <c r="J111" s="7">
        <v>157896</v>
      </c>
    </row>
    <row r="112" spans="1:12" x14ac:dyDescent="0.2">
      <c r="A112" s="1" t="s">
        <v>142</v>
      </c>
      <c r="B112" s="1"/>
      <c r="C112" s="7">
        <v>822060</v>
      </c>
      <c r="D112" s="7">
        <v>940140</v>
      </c>
      <c r="E112" s="7">
        <v>587002</v>
      </c>
      <c r="F112" s="7">
        <v>706563</v>
      </c>
      <c r="G112" s="7">
        <v>3055765</v>
      </c>
      <c r="H112" s="7">
        <v>855266</v>
      </c>
      <c r="I112" s="7">
        <v>965282</v>
      </c>
      <c r="J112" s="7">
        <v>1820548</v>
      </c>
    </row>
    <row r="114" spans="2:11" x14ac:dyDescent="0.2">
      <c r="C114" s="21" t="s">
        <v>144</v>
      </c>
      <c r="D114" s="21" t="s">
        <v>144</v>
      </c>
      <c r="E114" s="21" t="s">
        <v>144</v>
      </c>
      <c r="F114" s="21" t="s">
        <v>144</v>
      </c>
      <c r="G114" s="22"/>
      <c r="H114" s="21" t="s">
        <v>146</v>
      </c>
      <c r="I114" s="21" t="s">
        <v>146</v>
      </c>
    </row>
    <row r="115" spans="2:11" x14ac:dyDescent="0.2">
      <c r="C115" s="21" t="s">
        <v>148</v>
      </c>
      <c r="D115" s="21" t="s">
        <v>149</v>
      </c>
      <c r="E115" s="21" t="s">
        <v>150</v>
      </c>
      <c r="F115" s="21" t="s">
        <v>151</v>
      </c>
      <c r="G115" s="22"/>
      <c r="H115" s="21" t="s">
        <v>148</v>
      </c>
      <c r="I115" s="21" t="s">
        <v>149</v>
      </c>
    </row>
    <row r="116" spans="2:11" x14ac:dyDescent="0.2">
      <c r="C116" s="23"/>
      <c r="D116" s="23"/>
      <c r="E116" s="23"/>
      <c r="F116" s="23"/>
      <c r="G116" s="24"/>
      <c r="H116" s="23"/>
      <c r="I116" s="23"/>
    </row>
    <row r="117" spans="2:11" x14ac:dyDescent="0.2">
      <c r="B117" s="26" t="s">
        <v>115</v>
      </c>
      <c r="C117">
        <f>COUNTIFS(C$55:C$110,"&gt;0",$A$55:$A$110,$B117)</f>
        <v>18</v>
      </c>
      <c r="D117">
        <f t="shared" ref="D117:F117" si="9">COUNTIFS(D$55:D$110,"&gt;0",$A$55:$A$110,$B117)</f>
        <v>19</v>
      </c>
      <c r="E117">
        <f t="shared" si="9"/>
        <v>19</v>
      </c>
      <c r="F117">
        <f t="shared" si="9"/>
        <v>20</v>
      </c>
      <c r="H117">
        <f t="shared" ref="H117:I120" si="10">COUNTIFS(H$55:H$110,"&gt;0",$A$55:$A$110,$B117)</f>
        <v>20</v>
      </c>
      <c r="I117">
        <f t="shared" si="10"/>
        <v>20</v>
      </c>
      <c r="K117">
        <f>I117-D117</f>
        <v>1</v>
      </c>
    </row>
    <row r="118" spans="2:11" x14ac:dyDescent="0.2">
      <c r="B118" s="26" t="s">
        <v>116</v>
      </c>
      <c r="C118">
        <f t="shared" ref="C118:F120" si="11">COUNTIFS(C$55:C$110,"&gt;0",$A$55:$A$110,$B118)</f>
        <v>8</v>
      </c>
      <c r="D118">
        <f t="shared" si="11"/>
        <v>8</v>
      </c>
      <c r="E118">
        <f t="shared" si="11"/>
        <v>8</v>
      </c>
      <c r="F118">
        <f t="shared" si="11"/>
        <v>8</v>
      </c>
      <c r="H118">
        <f t="shared" si="10"/>
        <v>8</v>
      </c>
      <c r="I118">
        <f t="shared" si="10"/>
        <v>8</v>
      </c>
      <c r="K118">
        <f t="shared" ref="K118:K121" si="12">I118-D118</f>
        <v>0</v>
      </c>
    </row>
    <row r="119" spans="2:11" x14ac:dyDescent="0.2">
      <c r="B119" s="26" t="s">
        <v>127</v>
      </c>
      <c r="C119">
        <f t="shared" si="11"/>
        <v>13</v>
      </c>
      <c r="D119">
        <f t="shared" si="11"/>
        <v>13</v>
      </c>
      <c r="E119">
        <f t="shared" si="11"/>
        <v>14</v>
      </c>
      <c r="F119">
        <f t="shared" si="11"/>
        <v>14</v>
      </c>
      <c r="H119">
        <f t="shared" si="10"/>
        <v>14</v>
      </c>
      <c r="I119">
        <f t="shared" si="10"/>
        <v>13</v>
      </c>
      <c r="K119">
        <f t="shared" si="12"/>
        <v>0</v>
      </c>
    </row>
    <row r="120" spans="2:11" x14ac:dyDescent="0.2">
      <c r="B120" s="26" t="s">
        <v>126</v>
      </c>
      <c r="C120">
        <f t="shared" si="11"/>
        <v>10</v>
      </c>
      <c r="D120">
        <f t="shared" si="11"/>
        <v>10</v>
      </c>
      <c r="E120">
        <f t="shared" si="11"/>
        <v>11</v>
      </c>
      <c r="F120">
        <f t="shared" si="11"/>
        <v>11</v>
      </c>
      <c r="H120">
        <f t="shared" si="10"/>
        <v>11</v>
      </c>
      <c r="I120">
        <f t="shared" si="10"/>
        <v>9</v>
      </c>
      <c r="K120">
        <f t="shared" si="12"/>
        <v>-1</v>
      </c>
    </row>
    <row r="121" spans="2:11" x14ac:dyDescent="0.2">
      <c r="B121" s="25" t="s">
        <v>118</v>
      </c>
      <c r="C121" s="27">
        <f>SUM(C117:C120)</f>
        <v>49</v>
      </c>
      <c r="D121" s="27">
        <f t="shared" ref="D121:F121" si="13">SUM(D117:D120)</f>
        <v>50</v>
      </c>
      <c r="E121" s="27">
        <f t="shared" si="13"/>
        <v>52</v>
      </c>
      <c r="F121" s="27">
        <f t="shared" si="13"/>
        <v>53</v>
      </c>
      <c r="G121" s="25"/>
      <c r="H121" s="25">
        <f>SUM(H117:H120)</f>
        <v>53</v>
      </c>
      <c r="I121" s="25">
        <f>SUM(I117:I120)</f>
        <v>50</v>
      </c>
      <c r="K121">
        <f t="shared" si="12"/>
        <v>0</v>
      </c>
    </row>
    <row r="125" spans="2:11" x14ac:dyDescent="0.2">
      <c r="B125" s="26" t="s">
        <v>115</v>
      </c>
      <c r="C125" s="13">
        <f>B42/C117</f>
        <v>28301.055555555555</v>
      </c>
      <c r="D125" s="13">
        <f>C42/D117</f>
        <v>30348.315789473683</v>
      </c>
      <c r="E125" s="13">
        <f>D42/E117</f>
        <v>19141.78947368421</v>
      </c>
      <c r="F125" s="13">
        <f>E42/F117</f>
        <v>21601.7</v>
      </c>
      <c r="H125" s="13">
        <f t="shared" ref="H125:I129" si="14">F42/H117</f>
        <v>26500.95</v>
      </c>
      <c r="I125" s="13">
        <f t="shared" si="14"/>
        <v>29825.1</v>
      </c>
      <c r="K125" s="18"/>
    </row>
    <row r="126" spans="2:11" x14ac:dyDescent="0.2">
      <c r="B126" s="26" t="s">
        <v>116</v>
      </c>
      <c r="C126" s="13">
        <f t="shared" ref="C126:F126" si="15">B43/C118</f>
        <v>18481.5</v>
      </c>
      <c r="D126" s="13">
        <f t="shared" si="15"/>
        <v>21695.75</v>
      </c>
      <c r="E126" s="13">
        <f t="shared" si="15"/>
        <v>12942</v>
      </c>
      <c r="F126" s="13">
        <f t="shared" si="15"/>
        <v>16158</v>
      </c>
      <c r="H126" s="13">
        <f t="shared" si="14"/>
        <v>18775.5</v>
      </c>
      <c r="I126" s="13">
        <f t="shared" si="14"/>
        <v>22042.25</v>
      </c>
      <c r="K126" s="18"/>
    </row>
    <row r="127" spans="2:11" x14ac:dyDescent="0.2">
      <c r="B127" s="26" t="s">
        <v>127</v>
      </c>
      <c r="C127" s="13">
        <f t="shared" ref="C127:F127" si="16">B44/C119</f>
        <v>7364.3076923076924</v>
      </c>
      <c r="D127" s="13">
        <f t="shared" si="16"/>
        <v>8256.7692307692305</v>
      </c>
      <c r="E127" s="13">
        <f t="shared" si="16"/>
        <v>4942.7142857142853</v>
      </c>
      <c r="F127" s="13">
        <f t="shared" si="16"/>
        <v>5724.5714285714284</v>
      </c>
      <c r="H127" s="13">
        <f t="shared" si="14"/>
        <v>7127</v>
      </c>
      <c r="I127" s="13">
        <f t="shared" si="14"/>
        <v>8447</v>
      </c>
      <c r="K127" s="18"/>
    </row>
    <row r="128" spans="2:11" x14ac:dyDescent="0.2">
      <c r="B128" s="26" t="s">
        <v>126</v>
      </c>
      <c r="C128" s="13">
        <f t="shared" ref="C128:F128" si="17">B45/C120</f>
        <v>6905.3</v>
      </c>
      <c r="D128" s="13">
        <f t="shared" si="17"/>
        <v>8261.7999999999993</v>
      </c>
      <c r="E128" s="13">
        <f t="shared" si="17"/>
        <v>4597.636363636364</v>
      </c>
      <c r="F128" s="13">
        <f t="shared" si="17"/>
        <v>5920.090909090909</v>
      </c>
      <c r="H128" s="13">
        <f t="shared" si="14"/>
        <v>6842.272727272727</v>
      </c>
      <c r="I128" s="13">
        <f t="shared" si="14"/>
        <v>9181.2222222222226</v>
      </c>
      <c r="K128" s="18"/>
    </row>
    <row r="129" spans="2:11" x14ac:dyDescent="0.2">
      <c r="B129" s="25" t="s">
        <v>118</v>
      </c>
      <c r="C129" s="13">
        <f>B46/C121</f>
        <v>16776.734693877552</v>
      </c>
      <c r="D129" s="13">
        <f>C46/D121</f>
        <v>18802.8</v>
      </c>
      <c r="E129" s="13">
        <f>D46/E121</f>
        <v>11288.5</v>
      </c>
      <c r="F129" s="13">
        <f>E46/F121</f>
        <v>13331.377358490567</v>
      </c>
      <c r="H129" s="13">
        <f t="shared" si="14"/>
        <v>16137.094339622641</v>
      </c>
      <c r="I129" s="13">
        <f t="shared" si="14"/>
        <v>19305.64</v>
      </c>
      <c r="K129" s="18"/>
    </row>
    <row r="132" spans="2:11" x14ac:dyDescent="0.2">
      <c r="B132" s="26" t="s">
        <v>115</v>
      </c>
      <c r="D132">
        <f>SUMIFS(D$55:D$110,$A$55:$A$110,$B132,$I$55:$I$110,"&gt;0")</f>
        <v>576618</v>
      </c>
      <c r="I132">
        <f>SUMIFS(I$55:I$110,$A$55:$A$110,$B132,$I$55:$I$110,"&gt;0")</f>
        <v>596502</v>
      </c>
      <c r="J132" s="28">
        <f>I132/D132-1</f>
        <v>3.4483835051975387E-2</v>
      </c>
    </row>
    <row r="133" spans="2:11" x14ac:dyDescent="0.2">
      <c r="B133" s="26" t="s">
        <v>116</v>
      </c>
      <c r="D133">
        <f t="shared" ref="D133:D135" si="18">SUMIFS(D$55:D$110,$A$55:$A$110,$B133,$I$55:$I$110,"&gt;0")</f>
        <v>173566</v>
      </c>
      <c r="I133">
        <f t="shared" ref="I133:I135" si="19">SUMIFS(I$55:I$110,$A$55:$A$110,$B133,$I$55:$I$110,"&gt;0")</f>
        <v>176338</v>
      </c>
      <c r="J133" s="28">
        <f t="shared" ref="J133:J136" si="20">I133/D133-1</f>
        <v>1.5970869870827187E-2</v>
      </c>
    </row>
    <row r="134" spans="2:11" x14ac:dyDescent="0.2">
      <c r="B134" s="26" t="s">
        <v>127</v>
      </c>
      <c r="D134">
        <f t="shared" si="18"/>
        <v>106878</v>
      </c>
      <c r="I134">
        <f t="shared" si="19"/>
        <v>109811</v>
      </c>
      <c r="J134" s="28">
        <f t="shared" si="20"/>
        <v>2.7442504537884327E-2</v>
      </c>
    </row>
    <row r="135" spans="2:11" x14ac:dyDescent="0.2">
      <c r="B135" s="26" t="s">
        <v>126</v>
      </c>
      <c r="D135">
        <f t="shared" si="18"/>
        <v>80739</v>
      </c>
      <c r="I135">
        <f t="shared" si="19"/>
        <v>82631</v>
      </c>
      <c r="J135" s="28">
        <f>I135/D135-1</f>
        <v>2.3433532741302221E-2</v>
      </c>
    </row>
    <row r="136" spans="2:11" x14ac:dyDescent="0.2">
      <c r="B136" s="25" t="s">
        <v>118</v>
      </c>
      <c r="D136">
        <f>SUM(D132:D135)</f>
        <v>937801</v>
      </c>
      <c r="I136">
        <f>SUM(I132:I135)</f>
        <v>965282</v>
      </c>
      <c r="J136" s="28">
        <f t="shared" si="20"/>
        <v>2.9303658238794883E-2</v>
      </c>
    </row>
  </sheetData>
  <pageMargins left="0.7" right="0.7" top="0.75" bottom="0.75" header="0.3" footer="0.3"/>
  <pageSetup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F3598-ECF5-418B-B8F1-6BF71791ADA8}">
  <sheetPr>
    <pageSetUpPr fitToPage="1"/>
  </sheetPr>
  <dimension ref="B1:N59"/>
  <sheetViews>
    <sheetView showGridLines="0" zoomScaleNormal="100" workbookViewId="0">
      <selection activeCell="B5" sqref="B5"/>
    </sheetView>
  </sheetViews>
  <sheetFormatPr defaultRowHeight="12.75" x14ac:dyDescent="0.2"/>
  <cols>
    <col min="2" max="3" width="13" customWidth="1"/>
    <col min="4" max="4" width="11.5703125" bestFit="1" customWidth="1"/>
    <col min="6" max="7" width="13" customWidth="1"/>
    <col min="8" max="8" width="11" bestFit="1" customWidth="1"/>
    <col min="9" max="9" width="2.28515625" customWidth="1"/>
    <col min="10" max="10" width="11.28515625" bestFit="1" customWidth="1"/>
    <col min="11" max="11" width="11.5703125" bestFit="1" customWidth="1"/>
    <col min="12" max="12" width="2.140625" customWidth="1"/>
    <col min="14" max="14" width="13" bestFit="1" customWidth="1"/>
  </cols>
  <sheetData>
    <row r="1" spans="2:7" ht="35.25" x14ac:dyDescent="0.5">
      <c r="B1" s="56" t="s">
        <v>168</v>
      </c>
    </row>
    <row r="2" spans="2:7" ht="15" x14ac:dyDescent="0.2">
      <c r="B2" s="57" t="s">
        <v>169</v>
      </c>
    </row>
    <row r="3" spans="2:7" ht="19.5" customHeight="1" x14ac:dyDescent="0.2"/>
    <row r="4" spans="2:7" ht="20.25" x14ac:dyDescent="0.3">
      <c r="B4" s="40" t="s">
        <v>174</v>
      </c>
      <c r="C4" s="38"/>
      <c r="F4" s="40" t="s">
        <v>175</v>
      </c>
      <c r="G4" s="38"/>
    </row>
    <row r="5" spans="2:7" ht="35.25" x14ac:dyDescent="0.5">
      <c r="B5" s="41">
        <f>Pivot!$G$46</f>
        <v>965282</v>
      </c>
      <c r="C5" s="39"/>
      <c r="F5" s="39">
        <f>Pivot!$I$121</f>
        <v>50</v>
      </c>
      <c r="G5" s="39"/>
    </row>
    <row r="6" spans="2:7" x14ac:dyDescent="0.2">
      <c r="B6" s="33"/>
      <c r="C6" s="33"/>
      <c r="F6" s="33"/>
      <c r="G6" s="33"/>
    </row>
    <row r="7" spans="2:7" x14ac:dyDescent="0.2">
      <c r="B7" s="34" t="s">
        <v>171</v>
      </c>
      <c r="C7" s="36" t="s">
        <v>172</v>
      </c>
      <c r="F7" s="34" t="s">
        <v>171</v>
      </c>
      <c r="G7" s="36" t="s">
        <v>172</v>
      </c>
    </row>
    <row r="8" spans="2:7" x14ac:dyDescent="0.2">
      <c r="B8" s="42">
        <f>Pivot!$C$46</f>
        <v>940140</v>
      </c>
      <c r="C8" s="44">
        <f>B5/B8-1</f>
        <v>2.6742825536622217E-2</v>
      </c>
      <c r="F8" s="32">
        <f>Pivot!$D$121</f>
        <v>50</v>
      </c>
      <c r="G8" s="35">
        <f>F5/F8-1</f>
        <v>0</v>
      </c>
    </row>
    <row r="23" spans="2:14" ht="15.75" x14ac:dyDescent="0.25">
      <c r="B23" s="46" t="s">
        <v>125</v>
      </c>
      <c r="C23" s="47"/>
      <c r="D23" s="47"/>
      <c r="E23" s="47"/>
      <c r="F23" s="47"/>
      <c r="G23" s="47"/>
      <c r="H23" s="47"/>
      <c r="J23" s="37" t="s">
        <v>156</v>
      </c>
      <c r="K23" s="48"/>
      <c r="M23" s="37" t="s">
        <v>153</v>
      </c>
      <c r="N23" s="48"/>
    </row>
    <row r="24" spans="2:14" x14ac:dyDescent="0.2">
      <c r="B24" s="49" t="s">
        <v>140</v>
      </c>
      <c r="C24" s="50" t="s">
        <v>134</v>
      </c>
      <c r="D24" s="50" t="s">
        <v>135</v>
      </c>
      <c r="E24" s="50" t="s">
        <v>136</v>
      </c>
      <c r="F24" s="50" t="s">
        <v>137</v>
      </c>
      <c r="G24" s="50" t="s">
        <v>138</v>
      </c>
      <c r="H24" s="50" t="s">
        <v>139</v>
      </c>
      <c r="J24" s="51" t="s">
        <v>154</v>
      </c>
      <c r="K24" s="51" t="s">
        <v>155</v>
      </c>
      <c r="M24" s="51" t="s">
        <v>154</v>
      </c>
      <c r="N24" s="51" t="s">
        <v>155</v>
      </c>
    </row>
    <row r="25" spans="2:14" x14ac:dyDescent="0.2">
      <c r="B25" s="26" t="s">
        <v>115</v>
      </c>
      <c r="C25" s="17">
        <f>SUMIFS(VolumebyClient[Vol],VolumebyClient[Region Name],Summary!$B25,VolumebyClient[Quarter],Summary!C$24)</f>
        <v>509419</v>
      </c>
      <c r="D25" s="17">
        <f>SUMIFS(VolumebyClient[Vol],VolumebyClient[Region Name],Summary!$B25,VolumebyClient[Quarter],Summary!D$24)</f>
        <v>576618</v>
      </c>
      <c r="E25" s="17">
        <f>SUMIFS(VolumebyClient[Vol],VolumebyClient[Region Name],Summary!$B25,VolumebyClient[Quarter],Summary!E$24)</f>
        <v>363694</v>
      </c>
      <c r="F25" s="17">
        <f>SUMIFS(VolumebyClient[Vol],VolumebyClient[Region Name],Summary!$B25,VolumebyClient[Quarter],Summary!F$24)</f>
        <v>432034</v>
      </c>
      <c r="G25" s="17">
        <f>SUMIFS(VolumebyClient[Vol],VolumebyClient[Region Name],Summary!$B25,VolumebyClient[Quarter],Summary!G$24)</f>
        <v>530019</v>
      </c>
      <c r="H25" s="60">
        <f>SUMIFS(VolumebyClient[Vol],VolumebyClient[Region Name],Summary!$B25,VolumebyClient[Quarter],Summary!H$24)</f>
        <v>596502</v>
      </c>
      <c r="J25" s="13">
        <f>H25-D25</f>
        <v>19884</v>
      </c>
      <c r="K25" s="53">
        <f>H25/D25-1</f>
        <v>3.4483835051975387E-2</v>
      </c>
      <c r="M25" s="13">
        <f>G25-C25</f>
        <v>20600</v>
      </c>
      <c r="N25" s="53">
        <f>G25/C25-1</f>
        <v>4.0438224722674221E-2</v>
      </c>
    </row>
    <row r="26" spans="2:14" x14ac:dyDescent="0.2">
      <c r="B26" s="26" t="s">
        <v>116</v>
      </c>
      <c r="C26" s="17">
        <f>SUMIFS(VolumebyClient[Vol],VolumebyClient[Region Name],Summary!$B26,VolumebyClient[Quarter],Summary!C$24)</f>
        <v>147852</v>
      </c>
      <c r="D26" s="17">
        <f>SUMIFS(VolumebyClient[Vol],VolumebyClient[Region Name],Summary!$B26,VolumebyClient[Quarter],Summary!D$24)</f>
        <v>173566</v>
      </c>
      <c r="E26" s="17">
        <f>SUMIFS(VolumebyClient[Vol],VolumebyClient[Region Name],Summary!$B26,VolumebyClient[Quarter],Summary!E$24)</f>
        <v>103536</v>
      </c>
      <c r="F26" s="17">
        <f>SUMIFS(VolumebyClient[Vol],VolumebyClient[Region Name],Summary!$B26,VolumebyClient[Quarter],Summary!F$24)</f>
        <v>129264</v>
      </c>
      <c r="G26" s="17">
        <f>SUMIFS(VolumebyClient[Vol],VolumebyClient[Region Name],Summary!$B26,VolumebyClient[Quarter],Summary!G$24)</f>
        <v>150204</v>
      </c>
      <c r="H26" s="60">
        <f>SUMIFS(VolumebyClient[Vol],VolumebyClient[Region Name],Summary!$B26,VolumebyClient[Quarter],Summary!H$24)</f>
        <v>176338</v>
      </c>
      <c r="J26" s="13">
        <f t="shared" ref="J26:J29" si="0">H26-D26</f>
        <v>2772</v>
      </c>
      <c r="K26" s="53">
        <f t="shared" ref="K26:K29" si="1">H26/D26-1</f>
        <v>1.5970869870827187E-2</v>
      </c>
      <c r="M26" s="13">
        <f t="shared" ref="M26:M29" si="2">G26-C26</f>
        <v>2352</v>
      </c>
      <c r="N26" s="53">
        <f t="shared" ref="N26:N29" si="3">G26/C26-1</f>
        <v>1.5907799691583513E-2</v>
      </c>
    </row>
    <row r="27" spans="2:14" x14ac:dyDescent="0.2">
      <c r="B27" s="26" t="s">
        <v>127</v>
      </c>
      <c r="C27" s="17">
        <f>SUMIFS(VolumebyClient[Vol],VolumebyClient[Region Name],Summary!$B27,VolumebyClient[Quarter],Summary!C$24)</f>
        <v>95736</v>
      </c>
      <c r="D27" s="17">
        <f>SUMIFS(VolumebyClient[Vol],VolumebyClient[Region Name],Summary!$B27,VolumebyClient[Quarter],Summary!D$24)</f>
        <v>107338</v>
      </c>
      <c r="E27" s="17">
        <f>SUMIFS(VolumebyClient[Vol],VolumebyClient[Region Name],Summary!$B27,VolumebyClient[Quarter],Summary!E$24)</f>
        <v>69198</v>
      </c>
      <c r="F27" s="17">
        <f>SUMIFS(VolumebyClient[Vol],VolumebyClient[Region Name],Summary!$B27,VolumebyClient[Quarter],Summary!F$24)</f>
        <v>80144</v>
      </c>
      <c r="G27" s="17">
        <f>SUMIFS(VolumebyClient[Vol],VolumebyClient[Region Name],Summary!$B27,VolumebyClient[Quarter],Summary!G$24)</f>
        <v>99778</v>
      </c>
      <c r="H27" s="60">
        <f>SUMIFS(VolumebyClient[Vol],VolumebyClient[Region Name],Summary!$B27,VolumebyClient[Quarter],Summary!H$24)</f>
        <v>109811</v>
      </c>
      <c r="J27" s="13">
        <f t="shared" si="0"/>
        <v>2473</v>
      </c>
      <c r="K27" s="53">
        <f t="shared" si="1"/>
        <v>2.3039370959026639E-2</v>
      </c>
      <c r="M27" s="13">
        <f t="shared" si="2"/>
        <v>4042</v>
      </c>
      <c r="N27" s="53">
        <f t="shared" si="3"/>
        <v>4.2220272415810056E-2</v>
      </c>
    </row>
    <row r="28" spans="2:14" x14ac:dyDescent="0.2">
      <c r="B28" s="26" t="s">
        <v>126</v>
      </c>
      <c r="C28" s="17">
        <f>SUMIFS(VolumebyClient[Vol],VolumebyClient[Region Name],Summary!$B28,VolumebyClient[Quarter],Summary!C$24)</f>
        <v>69053</v>
      </c>
      <c r="D28" s="17">
        <f>SUMIFS(VolumebyClient[Vol],VolumebyClient[Region Name],Summary!$B28,VolumebyClient[Quarter],Summary!D$24)</f>
        <v>82618</v>
      </c>
      <c r="E28" s="17">
        <f>SUMIFS(VolumebyClient[Vol],VolumebyClient[Region Name],Summary!$B28,VolumebyClient[Quarter],Summary!E$24)</f>
        <v>50574</v>
      </c>
      <c r="F28" s="17">
        <f>SUMIFS(VolumebyClient[Vol],VolumebyClient[Region Name],Summary!$B28,VolumebyClient[Quarter],Summary!F$24)</f>
        <v>65121</v>
      </c>
      <c r="G28" s="17">
        <f>SUMIFS(VolumebyClient[Vol],VolumebyClient[Region Name],Summary!$B28,VolumebyClient[Quarter],Summary!G$24)</f>
        <v>75265</v>
      </c>
      <c r="H28" s="60">
        <f>SUMIFS(VolumebyClient[Vol],VolumebyClient[Region Name],Summary!$B28,VolumebyClient[Quarter],Summary!H$24)</f>
        <v>82631</v>
      </c>
      <c r="J28" s="13">
        <f t="shared" si="0"/>
        <v>13</v>
      </c>
      <c r="K28" s="53">
        <f t="shared" si="1"/>
        <v>1.5735069839495353E-4</v>
      </c>
      <c r="M28" s="13">
        <f t="shared" si="2"/>
        <v>6212</v>
      </c>
      <c r="N28" s="53">
        <f t="shared" si="3"/>
        <v>8.9959885884755231E-2</v>
      </c>
    </row>
    <row r="29" spans="2:14" x14ac:dyDescent="0.2">
      <c r="B29" s="27" t="s">
        <v>118</v>
      </c>
      <c r="C29" s="45">
        <f>SUM(C25:C28)</f>
        <v>822060</v>
      </c>
      <c r="D29" s="45">
        <f t="shared" ref="D29:H29" si="4">SUM(D25:D28)</f>
        <v>940140</v>
      </c>
      <c r="E29" s="45">
        <f t="shared" si="4"/>
        <v>587002</v>
      </c>
      <c r="F29" s="45">
        <f t="shared" si="4"/>
        <v>706563</v>
      </c>
      <c r="G29" s="45">
        <f t="shared" si="4"/>
        <v>855266</v>
      </c>
      <c r="H29" s="59">
        <f t="shared" si="4"/>
        <v>965282</v>
      </c>
      <c r="J29" s="45">
        <f t="shared" si="0"/>
        <v>25142</v>
      </c>
      <c r="K29" s="54">
        <f t="shared" si="1"/>
        <v>2.6742825536622217E-2</v>
      </c>
      <c r="M29" s="45">
        <f t="shared" si="2"/>
        <v>33206</v>
      </c>
      <c r="N29" s="54">
        <f t="shared" si="3"/>
        <v>4.0393645232708053E-2</v>
      </c>
    </row>
    <row r="31" spans="2:14" ht="15.75" x14ac:dyDescent="0.25">
      <c r="B31" s="52" t="s">
        <v>170</v>
      </c>
      <c r="C31" s="47"/>
      <c r="D31" s="47"/>
      <c r="E31" s="47"/>
      <c r="F31" s="47"/>
      <c r="G31" s="47"/>
      <c r="H31" s="47"/>
      <c r="J31" s="37" t="s">
        <v>156</v>
      </c>
      <c r="K31" s="48"/>
      <c r="M31" s="37" t="s">
        <v>153</v>
      </c>
      <c r="N31" s="48"/>
    </row>
    <row r="32" spans="2:14" x14ac:dyDescent="0.2">
      <c r="B32" s="49" t="s">
        <v>140</v>
      </c>
      <c r="C32" s="50" t="s">
        <v>134</v>
      </c>
      <c r="D32" s="50" t="s">
        <v>135</v>
      </c>
      <c r="E32" s="50" t="s">
        <v>136</v>
      </c>
      <c r="F32" s="50" t="s">
        <v>137</v>
      </c>
      <c r="G32" s="50" t="s">
        <v>138</v>
      </c>
      <c r="H32" s="50" t="s">
        <v>139</v>
      </c>
      <c r="J32" s="51" t="s">
        <v>154</v>
      </c>
      <c r="K32" s="51" t="s">
        <v>155</v>
      </c>
      <c r="M32" s="51" t="s">
        <v>154</v>
      </c>
      <c r="N32" s="51" t="s">
        <v>155</v>
      </c>
    </row>
    <row r="33" spans="2:14" x14ac:dyDescent="0.2">
      <c r="B33" s="26" t="s">
        <v>115</v>
      </c>
      <c r="C33" s="16">
        <f>ROUNDUP(COUNTIFS(VolumebyClient[Region Name],Summary!$B33,VolumebyClient[Quarter],Summary!C$32)/3,0)</f>
        <v>18</v>
      </c>
      <c r="D33" s="16">
        <f>ROUNDUP(COUNTIFS(VolumebyClient[Region Name],Summary!$B33,VolumebyClient[Quarter],Summary!D$32)/3,0)</f>
        <v>19</v>
      </c>
      <c r="E33" s="16">
        <f>ROUNDUP(COUNTIFS(VolumebyClient[Region Name],Summary!$B33,VolumebyClient[Quarter],Summary!E$32)/3,0)</f>
        <v>19</v>
      </c>
      <c r="F33" s="16">
        <f>ROUNDUP(COUNTIFS(VolumebyClient[Region Name],Summary!$B33,VolumebyClient[Quarter],Summary!F$32)/3,0)</f>
        <v>20</v>
      </c>
      <c r="G33" s="16">
        <f>ROUNDUP(COUNTIFS(VolumebyClient[Region Name],Summary!$B33,VolumebyClient[Quarter],Summary!G$32)/3,0)</f>
        <v>20</v>
      </c>
      <c r="H33" s="58">
        <f>ROUNDUP(COUNTIFS(VolumebyClient[Region Name],Summary!$B33,VolumebyClient[Quarter],Summary!H$32)/3,0)</f>
        <v>20</v>
      </c>
      <c r="J33" s="13">
        <f>H33-D33</f>
        <v>1</v>
      </c>
      <c r="K33" s="53">
        <f>H33/D33-1</f>
        <v>5.2631578947368363E-2</v>
      </c>
      <c r="M33" s="13">
        <f>G33-C33</f>
        <v>2</v>
      </c>
      <c r="N33" s="53">
        <f>G33/C33-1</f>
        <v>0.11111111111111116</v>
      </c>
    </row>
    <row r="34" spans="2:14" x14ac:dyDescent="0.2">
      <c r="B34" s="26" t="s">
        <v>116</v>
      </c>
      <c r="C34" s="16">
        <f>ROUNDUP(COUNTIFS(VolumebyClient[Region Name],Summary!$B34,VolumebyClient[Quarter],Summary!C$32)/3,0)</f>
        <v>8</v>
      </c>
      <c r="D34" s="16">
        <f>ROUNDUP(COUNTIFS(VolumebyClient[Region Name],Summary!$B34,VolumebyClient[Quarter],Summary!D$32)/3,0)</f>
        <v>8</v>
      </c>
      <c r="E34" s="16">
        <f>ROUNDUP(COUNTIFS(VolumebyClient[Region Name],Summary!$B34,VolumebyClient[Quarter],Summary!E$32)/3,0)</f>
        <v>8</v>
      </c>
      <c r="F34" s="16">
        <f>ROUNDUP(COUNTIFS(VolumebyClient[Region Name],Summary!$B34,VolumebyClient[Quarter],Summary!F$32)/3,0)</f>
        <v>8</v>
      </c>
      <c r="G34" s="16">
        <f>ROUNDUP(COUNTIFS(VolumebyClient[Region Name],Summary!$B34,VolumebyClient[Quarter],Summary!G$32)/3,0)</f>
        <v>8</v>
      </c>
      <c r="H34" s="58">
        <f>ROUNDUP(COUNTIFS(VolumebyClient[Region Name],Summary!$B34,VolumebyClient[Quarter],Summary!H$32)/3,0)</f>
        <v>8</v>
      </c>
      <c r="J34" s="13">
        <f t="shared" ref="J34:J37" si="5">H34-D34</f>
        <v>0</v>
      </c>
      <c r="K34" s="53">
        <f t="shared" ref="K34:K37" si="6">H34/D34-1</f>
        <v>0</v>
      </c>
      <c r="M34" s="13">
        <f t="shared" ref="M34:M37" si="7">G34-C34</f>
        <v>0</v>
      </c>
      <c r="N34" s="53">
        <f t="shared" ref="N34:N37" si="8">G34/C34-1</f>
        <v>0</v>
      </c>
    </row>
    <row r="35" spans="2:14" x14ac:dyDescent="0.2">
      <c r="B35" s="26" t="s">
        <v>127</v>
      </c>
      <c r="C35" s="16">
        <f>ROUNDUP(COUNTIFS(VolumebyClient[Region Name],Summary!$B35,VolumebyClient[Quarter],Summary!C$32)/3,0)</f>
        <v>13</v>
      </c>
      <c r="D35" s="16">
        <f>ROUNDUP(COUNTIFS(VolumebyClient[Region Name],Summary!$B35,VolumebyClient[Quarter],Summary!D$32)/3,0)</f>
        <v>13</v>
      </c>
      <c r="E35" s="16">
        <f>ROUNDUP(COUNTIFS(VolumebyClient[Region Name],Summary!$B35,VolumebyClient[Quarter],Summary!E$32)/3,0)</f>
        <v>14</v>
      </c>
      <c r="F35" s="16">
        <f>ROUNDUP(COUNTIFS(VolumebyClient[Region Name],Summary!$B35,VolumebyClient[Quarter],Summary!F$32)/3,0)</f>
        <v>14</v>
      </c>
      <c r="G35" s="16">
        <f>ROUNDUP(COUNTIFS(VolumebyClient[Region Name],Summary!$B35,VolumebyClient[Quarter],Summary!G$32)/3,0)</f>
        <v>14</v>
      </c>
      <c r="H35" s="58">
        <f>ROUNDUP(COUNTIFS(VolumebyClient[Region Name],Summary!$B35,VolumebyClient[Quarter],Summary!H$32)/3,0)</f>
        <v>13</v>
      </c>
      <c r="J35" s="13">
        <f t="shared" si="5"/>
        <v>0</v>
      </c>
      <c r="K35" s="53">
        <f t="shared" si="6"/>
        <v>0</v>
      </c>
      <c r="M35" s="13">
        <f t="shared" si="7"/>
        <v>1</v>
      </c>
      <c r="N35" s="53">
        <f t="shared" si="8"/>
        <v>7.6923076923076872E-2</v>
      </c>
    </row>
    <row r="36" spans="2:14" x14ac:dyDescent="0.2">
      <c r="B36" s="26" t="s">
        <v>126</v>
      </c>
      <c r="C36" s="16">
        <f>ROUNDUP(COUNTIFS(VolumebyClient[Region Name],Summary!$B36,VolumebyClient[Quarter],Summary!C$32)/3,0)</f>
        <v>10</v>
      </c>
      <c r="D36" s="16">
        <f>ROUNDUP(COUNTIFS(VolumebyClient[Region Name],Summary!$B36,VolumebyClient[Quarter],Summary!D$32)/3,0)</f>
        <v>10</v>
      </c>
      <c r="E36" s="16">
        <f>ROUNDUP(COUNTIFS(VolumebyClient[Region Name],Summary!$B36,VolumebyClient[Quarter],Summary!E$32)/3,0)</f>
        <v>11</v>
      </c>
      <c r="F36" s="16">
        <f>ROUNDUP(COUNTIFS(VolumebyClient[Region Name],Summary!$B36,VolumebyClient[Quarter],Summary!F$32)/3,0)</f>
        <v>11</v>
      </c>
      <c r="G36" s="16">
        <f>ROUNDUP(COUNTIFS(VolumebyClient[Region Name],Summary!$B36,VolumebyClient[Quarter],Summary!G$32)/3,0)</f>
        <v>11</v>
      </c>
      <c r="H36" s="58">
        <f>ROUNDUP(COUNTIFS(VolumebyClient[Region Name],Summary!$B36,VolumebyClient[Quarter],Summary!H$32)/3,0)</f>
        <v>9</v>
      </c>
      <c r="J36" s="13">
        <f t="shared" si="5"/>
        <v>-1</v>
      </c>
      <c r="K36" s="53">
        <f t="shared" si="6"/>
        <v>-9.9999999999999978E-2</v>
      </c>
      <c r="M36" s="13">
        <f t="shared" si="7"/>
        <v>1</v>
      </c>
      <c r="N36" s="53">
        <f t="shared" si="8"/>
        <v>0.10000000000000009</v>
      </c>
    </row>
    <row r="37" spans="2:14" x14ac:dyDescent="0.2">
      <c r="B37" s="27" t="s">
        <v>118</v>
      </c>
      <c r="C37" s="45">
        <f>SUM(C33:C36)</f>
        <v>49</v>
      </c>
      <c r="D37" s="45">
        <f t="shared" ref="D37" si="9">SUM(D33:D36)</f>
        <v>50</v>
      </c>
      <c r="E37" s="45">
        <f t="shared" ref="E37" si="10">SUM(E33:E36)</f>
        <v>52</v>
      </c>
      <c r="F37" s="45">
        <f t="shared" ref="F37" si="11">SUM(F33:F36)</f>
        <v>53</v>
      </c>
      <c r="G37" s="45">
        <f t="shared" ref="G37" si="12">SUM(G33:G36)</f>
        <v>53</v>
      </c>
      <c r="H37" s="59">
        <f t="shared" ref="H37" si="13">SUM(H33:H36)</f>
        <v>50</v>
      </c>
      <c r="J37" s="45">
        <f t="shared" si="5"/>
        <v>0</v>
      </c>
      <c r="K37" s="54">
        <f t="shared" si="6"/>
        <v>0</v>
      </c>
      <c r="M37" s="45">
        <f t="shared" si="7"/>
        <v>4</v>
      </c>
      <c r="N37" s="54">
        <f t="shared" si="8"/>
        <v>8.163265306122458E-2</v>
      </c>
    </row>
    <row r="39" spans="2:14" ht="15.75" x14ac:dyDescent="0.25">
      <c r="B39" s="52" t="s">
        <v>173</v>
      </c>
      <c r="C39" s="47"/>
      <c r="D39" s="47"/>
      <c r="E39" s="47"/>
      <c r="F39" s="47"/>
      <c r="G39" s="47"/>
      <c r="H39" s="47"/>
      <c r="J39" s="37" t="s">
        <v>156</v>
      </c>
      <c r="K39" s="48"/>
      <c r="M39" s="37" t="s">
        <v>153</v>
      </c>
      <c r="N39" s="48"/>
    </row>
    <row r="40" spans="2:14" x14ac:dyDescent="0.2">
      <c r="B40" s="49" t="s">
        <v>140</v>
      </c>
      <c r="C40" s="50" t="s">
        <v>134</v>
      </c>
      <c r="D40" s="50" t="s">
        <v>135</v>
      </c>
      <c r="E40" s="50" t="s">
        <v>136</v>
      </c>
      <c r="F40" s="50" t="s">
        <v>137</v>
      </c>
      <c r="G40" s="50" t="s">
        <v>138</v>
      </c>
      <c r="H40" s="50" t="s">
        <v>139</v>
      </c>
      <c r="J40" s="51" t="s">
        <v>154</v>
      </c>
      <c r="K40" s="51" t="s">
        <v>155</v>
      </c>
      <c r="M40" s="51" t="s">
        <v>154</v>
      </c>
      <c r="N40" s="51" t="s">
        <v>155</v>
      </c>
    </row>
    <row r="41" spans="2:14" x14ac:dyDescent="0.2">
      <c r="B41" s="26" t="s">
        <v>115</v>
      </c>
      <c r="C41" s="16">
        <f>C25/C33</f>
        <v>28301.055555555555</v>
      </c>
      <c r="D41" s="16">
        <f t="shared" ref="D41:H41" si="14">D25/D33</f>
        <v>30348.315789473683</v>
      </c>
      <c r="E41" s="16">
        <f t="shared" si="14"/>
        <v>19141.78947368421</v>
      </c>
      <c r="F41" s="16">
        <f t="shared" si="14"/>
        <v>21601.7</v>
      </c>
      <c r="G41" s="16">
        <f t="shared" si="14"/>
        <v>26500.95</v>
      </c>
      <c r="H41" s="58">
        <f t="shared" si="14"/>
        <v>29825.1</v>
      </c>
      <c r="J41" s="13">
        <f>H41-D41</f>
        <v>-523.21578947368471</v>
      </c>
      <c r="K41" s="53">
        <f>H41/D41-1</f>
        <v>-1.7240356700623294E-2</v>
      </c>
      <c r="M41" s="13">
        <f>G41-C41</f>
        <v>-1800.105555555554</v>
      </c>
      <c r="N41" s="53">
        <f>G41/C41-1</f>
        <v>-6.3605597749593068E-2</v>
      </c>
    </row>
    <row r="42" spans="2:14" x14ac:dyDescent="0.2">
      <c r="B42" s="26" t="s">
        <v>116</v>
      </c>
      <c r="C42" s="16">
        <f t="shared" ref="C42:H42" si="15">C26/C34</f>
        <v>18481.5</v>
      </c>
      <c r="D42" s="16">
        <f t="shared" si="15"/>
        <v>21695.75</v>
      </c>
      <c r="E42" s="16">
        <f t="shared" si="15"/>
        <v>12942</v>
      </c>
      <c r="F42" s="16">
        <f t="shared" si="15"/>
        <v>16158</v>
      </c>
      <c r="G42" s="16">
        <f t="shared" si="15"/>
        <v>18775.5</v>
      </c>
      <c r="H42" s="58">
        <f t="shared" si="15"/>
        <v>22042.25</v>
      </c>
      <c r="J42" s="13">
        <f t="shared" ref="J42:J45" si="16">H42-D42</f>
        <v>346.5</v>
      </c>
      <c r="K42" s="53">
        <f t="shared" ref="K42:K45" si="17">H42/D42-1</f>
        <v>1.5970869870827187E-2</v>
      </c>
      <c r="M42" s="13">
        <f t="shared" ref="M42:M45" si="18">G42-C42</f>
        <v>294</v>
      </c>
      <c r="N42" s="53">
        <f t="shared" ref="N42:N45" si="19">G42/C42-1</f>
        <v>1.5907799691583513E-2</v>
      </c>
    </row>
    <row r="43" spans="2:14" x14ac:dyDescent="0.2">
      <c r="B43" s="26" t="s">
        <v>127</v>
      </c>
      <c r="C43" s="16">
        <f t="shared" ref="C43:H43" si="20">C27/C35</f>
        <v>7364.3076923076924</v>
      </c>
      <c r="D43" s="16">
        <f t="shared" si="20"/>
        <v>8256.7692307692305</v>
      </c>
      <c r="E43" s="16">
        <f t="shared" si="20"/>
        <v>4942.7142857142853</v>
      </c>
      <c r="F43" s="16">
        <f t="shared" si="20"/>
        <v>5724.5714285714284</v>
      </c>
      <c r="G43" s="16">
        <f t="shared" si="20"/>
        <v>7127</v>
      </c>
      <c r="H43" s="58">
        <f t="shared" si="20"/>
        <v>8447</v>
      </c>
      <c r="J43" s="13">
        <f t="shared" si="16"/>
        <v>190.23076923076951</v>
      </c>
      <c r="K43" s="53">
        <f t="shared" si="17"/>
        <v>2.3039370959026639E-2</v>
      </c>
      <c r="M43" s="13">
        <f t="shared" si="18"/>
        <v>-237.30769230769238</v>
      </c>
      <c r="N43" s="53">
        <f t="shared" si="19"/>
        <v>-3.2224032756747678E-2</v>
      </c>
    </row>
    <row r="44" spans="2:14" x14ac:dyDescent="0.2">
      <c r="B44" s="26" t="s">
        <v>126</v>
      </c>
      <c r="C44" s="16">
        <f t="shared" ref="C44:H44" si="21">C28/C36</f>
        <v>6905.3</v>
      </c>
      <c r="D44" s="16">
        <f t="shared" si="21"/>
        <v>8261.7999999999993</v>
      </c>
      <c r="E44" s="16">
        <f t="shared" si="21"/>
        <v>4597.636363636364</v>
      </c>
      <c r="F44" s="16">
        <f t="shared" si="21"/>
        <v>5920.090909090909</v>
      </c>
      <c r="G44" s="16">
        <f t="shared" si="21"/>
        <v>6842.272727272727</v>
      </c>
      <c r="H44" s="58">
        <f t="shared" si="21"/>
        <v>9181.2222222222226</v>
      </c>
      <c r="J44" s="13">
        <f t="shared" si="16"/>
        <v>919.42222222222335</v>
      </c>
      <c r="K44" s="53">
        <f t="shared" si="17"/>
        <v>0.11128594522043911</v>
      </c>
      <c r="M44" s="13">
        <f t="shared" si="18"/>
        <v>-63.027272727273157</v>
      </c>
      <c r="N44" s="53">
        <f t="shared" si="19"/>
        <v>-9.1273764684044467E-3</v>
      </c>
    </row>
    <row r="45" spans="2:14" x14ac:dyDescent="0.2">
      <c r="B45" s="27" t="s">
        <v>118</v>
      </c>
      <c r="C45" s="55">
        <f t="shared" ref="C45:H45" si="22">C29/C37</f>
        <v>16776.734693877552</v>
      </c>
      <c r="D45" s="55">
        <f t="shared" si="22"/>
        <v>18802.8</v>
      </c>
      <c r="E45" s="55">
        <f t="shared" si="22"/>
        <v>11288.5</v>
      </c>
      <c r="F45" s="55">
        <f t="shared" si="22"/>
        <v>13331.377358490567</v>
      </c>
      <c r="G45" s="55">
        <f t="shared" si="22"/>
        <v>16137.094339622641</v>
      </c>
      <c r="H45" s="61">
        <f t="shared" si="22"/>
        <v>19305.64</v>
      </c>
      <c r="J45" s="45">
        <f t="shared" si="16"/>
        <v>502.84000000000015</v>
      </c>
      <c r="K45" s="54">
        <f t="shared" si="17"/>
        <v>2.6742825536622217E-2</v>
      </c>
      <c r="M45" s="45">
        <f t="shared" si="18"/>
        <v>-639.64035425491056</v>
      </c>
      <c r="N45" s="54">
        <f t="shared" si="19"/>
        <v>-3.8126629879194462E-2</v>
      </c>
    </row>
    <row r="47" spans="2:14" x14ac:dyDescent="0.2">
      <c r="B47" s="43" t="s">
        <v>176</v>
      </c>
      <c r="J47" s="19">
        <f>D29*(1+N29)</f>
        <v>978115.68162907811</v>
      </c>
    </row>
    <row r="48" spans="2:14" x14ac:dyDescent="0.2">
      <c r="J48" s="19">
        <f>J47-H29</f>
        <v>12833.681629078113</v>
      </c>
      <c r="K48" s="19">
        <f>7000/J48</f>
        <v>0.5454397422591224</v>
      </c>
    </row>
    <row r="49" spans="2:2" x14ac:dyDescent="0.2">
      <c r="B49" s="3" t="s">
        <v>178</v>
      </c>
    </row>
    <row r="50" spans="2:2" x14ac:dyDescent="0.2">
      <c r="B50" s="3" t="s">
        <v>177</v>
      </c>
    </row>
    <row r="51" spans="2:2" x14ac:dyDescent="0.2">
      <c r="B51" s="3" t="s">
        <v>179</v>
      </c>
    </row>
    <row r="52" spans="2:2" x14ac:dyDescent="0.2">
      <c r="B52" s="3"/>
    </row>
    <row r="53" spans="2:2" x14ac:dyDescent="0.2">
      <c r="B53" s="1"/>
    </row>
    <row r="54" spans="2:2" x14ac:dyDescent="0.2">
      <c r="B54" s="3"/>
    </row>
    <row r="55" spans="2:2" x14ac:dyDescent="0.2">
      <c r="B55" s="3"/>
    </row>
    <row r="57" spans="2:2" x14ac:dyDescent="0.2">
      <c r="B57" s="3"/>
    </row>
    <row r="59" spans="2:2" x14ac:dyDescent="0.2">
      <c r="B59" s="3"/>
    </row>
  </sheetData>
  <phoneticPr fontId="6" type="noConversion"/>
  <printOptions horizontalCentered="1"/>
  <pageMargins left="0.25" right="0.25" top="0.75" bottom="0.75" header="0.3" footer="0.3"/>
  <pageSetup scale="72" orientation="landscape" r:id="rId1"/>
  <headerFooter>
    <oddFooter>&amp;LReport as of 07/08/2023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" id="{0EE19E55-5965-4B97-A393-E08505BC1C57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G8</xm:sqref>
        </x14:conditionalFormatting>
        <x14:conditionalFormatting xmlns:xm="http://schemas.microsoft.com/office/excel/2006/main">
          <x14:cfRule type="iconSet" priority="7" id="{D12562D4-DB6C-44B7-8CC1-F8D2451D7FE9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C8</xm:sqref>
        </x14:conditionalFormatting>
        <x14:conditionalFormatting xmlns:xm="http://schemas.microsoft.com/office/excel/2006/main">
          <x14:cfRule type="iconSet" priority="6" id="{B9F52204-9C1C-4CAA-957B-A13E53F1451F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K25:K29</xm:sqref>
        </x14:conditionalFormatting>
        <x14:conditionalFormatting xmlns:xm="http://schemas.microsoft.com/office/excel/2006/main">
          <x14:cfRule type="iconSet" priority="5" id="{BE1ADB34-C9C8-403D-9800-591F53E2B75B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N25:N29</xm:sqref>
        </x14:conditionalFormatting>
        <x14:conditionalFormatting xmlns:xm="http://schemas.microsoft.com/office/excel/2006/main">
          <x14:cfRule type="iconSet" priority="4" id="{505014A4-4FA1-4972-AFF3-AF031062B739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K33:K37</xm:sqref>
        </x14:conditionalFormatting>
        <x14:conditionalFormatting xmlns:xm="http://schemas.microsoft.com/office/excel/2006/main">
          <x14:cfRule type="iconSet" priority="3" id="{50FF49AF-438B-4C6E-AD88-5636FD336C21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N33:N37</xm:sqref>
        </x14:conditionalFormatting>
        <x14:conditionalFormatting xmlns:xm="http://schemas.microsoft.com/office/excel/2006/main">
          <x14:cfRule type="iconSet" priority="2" id="{93A73768-9837-4772-A438-45295623386C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K41:K45</xm:sqref>
        </x14:conditionalFormatting>
        <x14:conditionalFormatting xmlns:xm="http://schemas.microsoft.com/office/excel/2006/main">
          <x14:cfRule type="iconSet" priority="1" id="{E72A1876-A089-4706-8E0B-54A89ED09D7A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N41:N45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7ED54-646C-4103-A593-3F0BE14E8786}">
  <dimension ref="A1:N908"/>
  <sheetViews>
    <sheetView workbookViewId="0">
      <selection activeCell="I2" sqref="I2"/>
    </sheetView>
  </sheetViews>
  <sheetFormatPr defaultRowHeight="12.75" x14ac:dyDescent="0.2"/>
  <cols>
    <col min="1" max="1" width="8.28515625" style="1" bestFit="1" customWidth="1"/>
    <col min="2" max="2" width="10.140625" style="2" customWidth="1"/>
    <col min="3" max="3" width="9.28515625" style="1" bestFit="1" customWidth="1"/>
    <col min="4" max="4" width="9.140625" style="1"/>
    <col min="5" max="5" width="20.42578125" style="1" bestFit="1" customWidth="1"/>
    <col min="6" max="6" width="24.28515625" style="1" bestFit="1" customWidth="1"/>
    <col min="7" max="7" width="15.7109375" style="1" bestFit="1" customWidth="1"/>
    <col min="8" max="8" width="10.140625" style="1" bestFit="1" customWidth="1"/>
    <col min="9" max="9" width="21.140625" style="1" bestFit="1" customWidth="1"/>
    <col min="10" max="10" width="9.140625" style="1"/>
    <col min="11" max="11" width="16" style="9" customWidth="1"/>
    <col min="12" max="12" width="12.140625" style="1" customWidth="1"/>
    <col min="13" max="13" width="11.28515625" style="1" customWidth="1"/>
    <col min="14" max="16384" width="9.140625" style="1"/>
  </cols>
  <sheetData>
    <row r="1" spans="1:14" x14ac:dyDescent="0.2">
      <c r="A1" s="1" t="s">
        <v>0</v>
      </c>
      <c r="B1" s="2" t="s">
        <v>58</v>
      </c>
      <c r="C1" s="1" t="s">
        <v>59</v>
      </c>
      <c r="D1" s="3" t="s">
        <v>119</v>
      </c>
      <c r="E1" s="3" t="s">
        <v>124</v>
      </c>
      <c r="F1" s="3" t="s">
        <v>123</v>
      </c>
      <c r="G1" s="3" t="s">
        <v>128</v>
      </c>
      <c r="H1" s="3" t="s">
        <v>129</v>
      </c>
      <c r="I1" s="3" t="s">
        <v>130</v>
      </c>
      <c r="K1" s="8"/>
      <c r="L1" s="3" t="s">
        <v>131</v>
      </c>
      <c r="M1" s="3" t="s">
        <v>132</v>
      </c>
      <c r="N1" s="3" t="s">
        <v>133</v>
      </c>
    </row>
    <row r="2" spans="1:14" x14ac:dyDescent="0.2">
      <c r="A2" s="2" t="s">
        <v>23</v>
      </c>
      <c r="B2" s="10">
        <v>43921</v>
      </c>
      <c r="C2" s="5">
        <v>884</v>
      </c>
      <c r="D2" s="1">
        <f>LEN(VolumebyClient[[#This Row],[CLID]])</f>
        <v>7</v>
      </c>
      <c r="F2" s="1" t="str">
        <f>INDEX(GeobyClient[GEOID],MATCH(VolumebyClient[[#This Row],[CLID]],GeobyClient[Right],0))</f>
        <v>GEO1004</v>
      </c>
      <c r="G2" s="1" t="str">
        <f>VLOOKUP(VolumebyClient[[#This Row],[Index Match Region ID]],GEONames[[GEOID]:[GEO NAME]],2,FALSE)</f>
        <v>LATAM</v>
      </c>
      <c r="H2" s="1" t="str">
        <f>"Q"&amp;ROUNDUP(MONTH(VolumebyClient[[#This Row],[Date]])/3,0)&amp;" "&amp;YEAR(VolumebyClient[[#This Row],[Date]])</f>
        <v>Q1 2020</v>
      </c>
      <c r="I2" s="1" t="str">
        <f>VLOOKUP(VolumebyClient[[#This Row],[Date]],Quarters[],3,TRUE)</f>
        <v>Q1 2020</v>
      </c>
      <c r="L2" s="4">
        <v>43831</v>
      </c>
      <c r="M2" s="2">
        <v>43921</v>
      </c>
      <c r="N2" s="3" t="s">
        <v>134</v>
      </c>
    </row>
    <row r="3" spans="1:14" x14ac:dyDescent="0.2">
      <c r="A3" s="2" t="s">
        <v>23</v>
      </c>
      <c r="B3" s="10">
        <v>43951</v>
      </c>
      <c r="C3" s="5">
        <v>886</v>
      </c>
      <c r="D3" s="1">
        <f>LEN(VolumebyClient[[#This Row],[CLID]])</f>
        <v>7</v>
      </c>
      <c r="F3" s="1" t="str">
        <f>INDEX(GeobyClient[GEOID],MATCH(VolumebyClient[[#This Row],[CLID]],GeobyClient[Right],0))</f>
        <v>GEO1004</v>
      </c>
      <c r="G3" s="1" t="str">
        <f>VLOOKUP(VolumebyClient[[#This Row],[Index Match Region ID]],GEONames[[GEOID]:[GEO NAME]],2,FALSE)</f>
        <v>LATAM</v>
      </c>
      <c r="H3" s="1" t="str">
        <f>"Q"&amp;ROUNDUP(MONTH(VolumebyClient[[#This Row],[Date]])/3,0)&amp;" "&amp;YEAR(VolumebyClient[[#This Row],[Date]])</f>
        <v>Q2 2020</v>
      </c>
      <c r="I3" s="1" t="str">
        <f>VLOOKUP(VolumebyClient[[#This Row],[Date]],Quarters[],3,TRUE)</f>
        <v>Q2 2020</v>
      </c>
      <c r="L3" s="2">
        <v>43922</v>
      </c>
      <c r="M3" s="2">
        <v>44012</v>
      </c>
      <c r="N3" s="3" t="s">
        <v>135</v>
      </c>
    </row>
    <row r="4" spans="1:14" x14ac:dyDescent="0.2">
      <c r="A4" s="2" t="s">
        <v>23</v>
      </c>
      <c r="B4" s="10">
        <v>43982</v>
      </c>
      <c r="C4" s="5">
        <v>968</v>
      </c>
      <c r="D4" s="1">
        <f>LEN(VolumebyClient[[#This Row],[CLID]])</f>
        <v>7</v>
      </c>
      <c r="F4" s="1" t="str">
        <f>INDEX(GeobyClient[GEOID],MATCH(VolumebyClient[[#This Row],[CLID]],GeobyClient[Right],0))</f>
        <v>GEO1004</v>
      </c>
      <c r="G4" s="1" t="str">
        <f>VLOOKUP(VolumebyClient[[#This Row],[Index Match Region ID]],GEONames[[GEOID]:[GEO NAME]],2,FALSE)</f>
        <v>LATAM</v>
      </c>
      <c r="H4" s="1" t="str">
        <f>"Q"&amp;ROUNDUP(MONTH(VolumebyClient[[#This Row],[Date]])/3,0)&amp;" "&amp;YEAR(VolumebyClient[[#This Row],[Date]])</f>
        <v>Q2 2020</v>
      </c>
      <c r="I4" s="1" t="str">
        <f>VLOOKUP(VolumebyClient[[#This Row],[Date]],Quarters[],3,TRUE)</f>
        <v>Q2 2020</v>
      </c>
      <c r="L4" s="2">
        <v>44013</v>
      </c>
      <c r="M4" s="2">
        <v>44104</v>
      </c>
      <c r="N4" s="3" t="s">
        <v>136</v>
      </c>
    </row>
    <row r="5" spans="1:14" x14ac:dyDescent="0.2">
      <c r="A5" s="2" t="s">
        <v>23</v>
      </c>
      <c r="B5" s="10">
        <v>44012</v>
      </c>
      <c r="C5" s="5">
        <v>564</v>
      </c>
      <c r="D5" s="1">
        <f>LEN(VolumebyClient[[#This Row],[CLID]])</f>
        <v>7</v>
      </c>
      <c r="F5" s="1" t="str">
        <f>INDEX(GeobyClient[GEOID],MATCH(VolumebyClient[[#This Row],[CLID]],GeobyClient[Right],0))</f>
        <v>GEO1004</v>
      </c>
      <c r="G5" s="1" t="str">
        <f>VLOOKUP(VolumebyClient[[#This Row],[Index Match Region ID]],GEONames[[GEOID]:[GEO NAME]],2,FALSE)</f>
        <v>LATAM</v>
      </c>
      <c r="H5" s="1" t="str">
        <f>"Q"&amp;ROUNDUP(MONTH(VolumebyClient[[#This Row],[Date]])/3,0)&amp;" "&amp;YEAR(VolumebyClient[[#This Row],[Date]])</f>
        <v>Q2 2020</v>
      </c>
      <c r="I5" s="1" t="str">
        <f>VLOOKUP(VolumebyClient[[#This Row],[Date]],Quarters[],3,TRUE)</f>
        <v>Q2 2020</v>
      </c>
      <c r="L5" s="2">
        <v>44105</v>
      </c>
      <c r="M5" s="2">
        <v>44196</v>
      </c>
      <c r="N5" s="3" t="s">
        <v>137</v>
      </c>
    </row>
    <row r="6" spans="1:14" x14ac:dyDescent="0.2">
      <c r="A6" s="2" t="s">
        <v>23</v>
      </c>
      <c r="B6" s="10">
        <v>44043</v>
      </c>
      <c r="C6" s="5">
        <v>648</v>
      </c>
      <c r="D6" s="1">
        <f>LEN(VolumebyClient[[#This Row],[CLID]])</f>
        <v>7</v>
      </c>
      <c r="F6" s="1" t="str">
        <f>INDEX(GeobyClient[GEOID],MATCH(VolumebyClient[[#This Row],[CLID]],GeobyClient[Right],0))</f>
        <v>GEO1004</v>
      </c>
      <c r="G6" s="1" t="str">
        <f>VLOOKUP(VolumebyClient[[#This Row],[Index Match Region ID]],GEONames[[GEOID]:[GEO NAME]],2,FALSE)</f>
        <v>LATAM</v>
      </c>
      <c r="H6" s="1" t="str">
        <f>"Q"&amp;ROUNDUP(MONTH(VolumebyClient[[#This Row],[Date]])/3,0)&amp;" "&amp;YEAR(VolumebyClient[[#This Row],[Date]])</f>
        <v>Q3 2020</v>
      </c>
      <c r="I6" s="1" t="str">
        <f>VLOOKUP(VolumebyClient[[#This Row],[Date]],Quarters[],3,TRUE)</f>
        <v>Q3 2020</v>
      </c>
      <c r="L6" s="2">
        <v>44197</v>
      </c>
      <c r="M6" s="2">
        <v>44286</v>
      </c>
      <c r="N6" s="3" t="s">
        <v>138</v>
      </c>
    </row>
    <row r="7" spans="1:14" x14ac:dyDescent="0.2">
      <c r="A7" s="2" t="s">
        <v>23</v>
      </c>
      <c r="B7" s="10">
        <v>44074</v>
      </c>
      <c r="C7" s="5">
        <v>406</v>
      </c>
      <c r="D7" s="1">
        <f>LEN(VolumebyClient[[#This Row],[CLID]])</f>
        <v>7</v>
      </c>
      <c r="F7" s="1" t="str">
        <f>INDEX(GeobyClient[GEOID],MATCH(VolumebyClient[[#This Row],[CLID]],GeobyClient[Right],0))</f>
        <v>GEO1004</v>
      </c>
      <c r="G7" s="1" t="str">
        <f>VLOOKUP(VolumebyClient[[#This Row],[Index Match Region ID]],GEONames[[GEOID]:[GEO NAME]],2,FALSE)</f>
        <v>LATAM</v>
      </c>
      <c r="H7" s="1" t="str">
        <f>"Q"&amp;ROUNDUP(MONTH(VolumebyClient[[#This Row],[Date]])/3,0)&amp;" "&amp;YEAR(VolumebyClient[[#This Row],[Date]])</f>
        <v>Q3 2020</v>
      </c>
      <c r="I7" s="1" t="str">
        <f>VLOOKUP(VolumebyClient[[#This Row],[Date]],Quarters[],3,TRUE)</f>
        <v>Q3 2020</v>
      </c>
      <c r="L7" s="2">
        <v>44287</v>
      </c>
      <c r="M7" s="2">
        <v>44377</v>
      </c>
      <c r="N7" s="3" t="s">
        <v>139</v>
      </c>
    </row>
    <row r="8" spans="1:14" x14ac:dyDescent="0.2">
      <c r="A8" s="2" t="s">
        <v>23</v>
      </c>
      <c r="B8" s="10">
        <v>44104</v>
      </c>
      <c r="C8" s="5">
        <v>569</v>
      </c>
      <c r="D8" s="1">
        <f>LEN(VolumebyClient[[#This Row],[CLID]])</f>
        <v>7</v>
      </c>
      <c r="F8" s="1" t="str">
        <f>INDEX(GeobyClient[GEOID],MATCH(VolumebyClient[[#This Row],[CLID]],GeobyClient[Right],0))</f>
        <v>GEO1004</v>
      </c>
      <c r="G8" s="1" t="str">
        <f>VLOOKUP(VolumebyClient[[#This Row],[Index Match Region ID]],GEONames[[GEOID]:[GEO NAME]],2,FALSE)</f>
        <v>LATAM</v>
      </c>
      <c r="H8" s="1" t="str">
        <f>"Q"&amp;ROUNDUP(MONTH(VolumebyClient[[#This Row],[Date]])/3,0)&amp;" "&amp;YEAR(VolumebyClient[[#This Row],[Date]])</f>
        <v>Q3 2020</v>
      </c>
      <c r="I8" s="1" t="str">
        <f>VLOOKUP(VolumebyClient[[#This Row],[Date]],Quarters[],3,TRUE)</f>
        <v>Q3 2020</v>
      </c>
    </row>
    <row r="9" spans="1:14" x14ac:dyDescent="0.2">
      <c r="A9" s="2" t="s">
        <v>23</v>
      </c>
      <c r="B9" s="10">
        <v>44135</v>
      </c>
      <c r="C9" s="5">
        <v>487</v>
      </c>
      <c r="D9" s="1">
        <f>LEN(VolumebyClient[[#This Row],[CLID]])</f>
        <v>7</v>
      </c>
      <c r="F9" s="1" t="str">
        <f>INDEX(GeobyClient[GEOID],MATCH(VolumebyClient[[#This Row],[CLID]],GeobyClient[Right],0))</f>
        <v>GEO1004</v>
      </c>
      <c r="G9" s="1" t="str">
        <f>VLOOKUP(VolumebyClient[[#This Row],[Index Match Region ID]],GEONames[[GEOID]:[GEO NAME]],2,FALSE)</f>
        <v>LATAM</v>
      </c>
      <c r="H9" s="1" t="str">
        <f>"Q"&amp;ROUNDUP(MONTH(VolumebyClient[[#This Row],[Date]])/3,0)&amp;" "&amp;YEAR(VolumebyClient[[#This Row],[Date]])</f>
        <v>Q4 2020</v>
      </c>
      <c r="I9" s="1" t="str">
        <f>VLOOKUP(VolumebyClient[[#This Row],[Date]],Quarters[],3,TRUE)</f>
        <v>Q4 2020</v>
      </c>
    </row>
    <row r="10" spans="1:14" x14ac:dyDescent="0.2">
      <c r="A10" s="2" t="s">
        <v>23</v>
      </c>
      <c r="B10" s="10">
        <v>44165</v>
      </c>
      <c r="C10" s="5">
        <v>729</v>
      </c>
      <c r="D10" s="1">
        <f>LEN(VolumebyClient[[#This Row],[CLID]])</f>
        <v>7</v>
      </c>
      <c r="F10" s="1" t="str">
        <f>INDEX(GeobyClient[GEOID],MATCH(VolumebyClient[[#This Row],[CLID]],GeobyClient[Right],0))</f>
        <v>GEO1004</v>
      </c>
      <c r="G10" s="1" t="str">
        <f>VLOOKUP(VolumebyClient[[#This Row],[Index Match Region ID]],GEONames[[GEOID]:[GEO NAME]],2,FALSE)</f>
        <v>LATAM</v>
      </c>
      <c r="H10" s="1" t="str">
        <f>"Q"&amp;ROUNDUP(MONTH(VolumebyClient[[#This Row],[Date]])/3,0)&amp;" "&amp;YEAR(VolumebyClient[[#This Row],[Date]])</f>
        <v>Q4 2020</v>
      </c>
      <c r="I10" s="1" t="str">
        <f>VLOOKUP(VolumebyClient[[#This Row],[Date]],Quarters[],3,TRUE)</f>
        <v>Q4 2020</v>
      </c>
    </row>
    <row r="11" spans="1:14" x14ac:dyDescent="0.2">
      <c r="A11" s="2" t="s">
        <v>23</v>
      </c>
      <c r="B11" s="10">
        <v>44196</v>
      </c>
      <c r="C11" s="5">
        <v>565</v>
      </c>
      <c r="D11" s="1">
        <f>LEN(VolumebyClient[[#This Row],[CLID]])</f>
        <v>7</v>
      </c>
      <c r="F11" s="1" t="str">
        <f>INDEX(GeobyClient[GEOID],MATCH(VolumebyClient[[#This Row],[CLID]],GeobyClient[Right],0))</f>
        <v>GEO1004</v>
      </c>
      <c r="G11" s="1" t="str">
        <f>VLOOKUP(VolumebyClient[[#This Row],[Index Match Region ID]],GEONames[[GEOID]:[GEO NAME]],2,FALSE)</f>
        <v>LATAM</v>
      </c>
      <c r="H11" s="1" t="str">
        <f>"Q"&amp;ROUNDUP(MONTH(VolumebyClient[[#This Row],[Date]])/3,0)&amp;" "&amp;YEAR(VolumebyClient[[#This Row],[Date]])</f>
        <v>Q4 2020</v>
      </c>
      <c r="I11" s="1" t="str">
        <f>VLOOKUP(VolumebyClient[[#This Row],[Date]],Quarters[],3,TRUE)</f>
        <v>Q4 2020</v>
      </c>
    </row>
    <row r="12" spans="1:14" x14ac:dyDescent="0.2">
      <c r="A12" s="2" t="s">
        <v>23</v>
      </c>
      <c r="B12" s="10">
        <v>44377</v>
      </c>
      <c r="C12" s="5">
        <v>561</v>
      </c>
      <c r="D12" s="1">
        <f>LEN(VolumebyClient[[#This Row],[CLID]])</f>
        <v>7</v>
      </c>
      <c r="F12" s="1" t="str">
        <f>INDEX(GeobyClient[GEOID],MATCH(VolumebyClient[[#This Row],[CLID]],GeobyClient[Right],0))</f>
        <v>GEO1004</v>
      </c>
      <c r="G12" s="1" t="str">
        <f>VLOOKUP(VolumebyClient[[#This Row],[Index Match Region ID]],GEONames[[GEOID]:[GEO NAME]],2,FALSE)</f>
        <v>LATAM</v>
      </c>
      <c r="H12" s="1" t="str">
        <f>"Q"&amp;ROUNDUP(MONTH(VolumebyClient[[#This Row],[Date]])/3,0)&amp;" "&amp;YEAR(VolumebyClient[[#This Row],[Date]])</f>
        <v>Q2 2021</v>
      </c>
      <c r="I12" s="1" t="str">
        <f>VLOOKUP(VolumebyClient[[#This Row],[Date]],Quarters[],3,TRUE)</f>
        <v>Q2 2021</v>
      </c>
    </row>
    <row r="13" spans="1:14" x14ac:dyDescent="0.2">
      <c r="A13" s="2" t="s">
        <v>23</v>
      </c>
      <c r="B13" s="10">
        <v>44347</v>
      </c>
      <c r="C13" s="5">
        <v>1014</v>
      </c>
      <c r="D13" s="1">
        <f>LEN(VolumebyClient[[#This Row],[CLID]])</f>
        <v>7</v>
      </c>
      <c r="F13" s="1" t="str">
        <f>INDEX(GeobyClient[GEOID],MATCH(VolumebyClient[[#This Row],[CLID]],GeobyClient[Right],0))</f>
        <v>GEO1004</v>
      </c>
      <c r="G13" s="1" t="str">
        <f>VLOOKUP(VolumebyClient[[#This Row],[Index Match Region ID]],GEONames[[GEOID]:[GEO NAME]],2,FALSE)</f>
        <v>LATAM</v>
      </c>
      <c r="H13" s="1" t="str">
        <f>"Q"&amp;ROUNDUP(MONTH(VolumebyClient[[#This Row],[Date]])/3,0)&amp;" "&amp;YEAR(VolumebyClient[[#This Row],[Date]])</f>
        <v>Q2 2021</v>
      </c>
      <c r="I13" s="1" t="str">
        <f>VLOOKUP(VolumebyClient[[#This Row],[Date]],Quarters[],3,TRUE)</f>
        <v>Q2 2021</v>
      </c>
    </row>
    <row r="14" spans="1:14" x14ac:dyDescent="0.2">
      <c r="A14" s="2" t="s">
        <v>23</v>
      </c>
      <c r="B14" s="10">
        <v>44316</v>
      </c>
      <c r="C14" s="5">
        <v>878</v>
      </c>
      <c r="D14" s="1">
        <f>LEN(VolumebyClient[[#This Row],[CLID]])</f>
        <v>7</v>
      </c>
      <c r="F14" s="1" t="str">
        <f>INDEX(GeobyClient[GEOID],MATCH(VolumebyClient[[#This Row],[CLID]],GeobyClient[Right],0))</f>
        <v>GEO1004</v>
      </c>
      <c r="G14" s="1" t="str">
        <f>VLOOKUP(VolumebyClient[[#This Row],[Index Match Region ID]],GEONames[[GEOID]:[GEO NAME]],2,FALSE)</f>
        <v>LATAM</v>
      </c>
      <c r="H14" s="1" t="str">
        <f>"Q"&amp;ROUNDUP(MONTH(VolumebyClient[[#This Row],[Date]])/3,0)&amp;" "&amp;YEAR(VolumebyClient[[#This Row],[Date]])</f>
        <v>Q2 2021</v>
      </c>
      <c r="I14" s="1" t="str">
        <f>VLOOKUP(VolumebyClient[[#This Row],[Date]],Quarters[],3,TRUE)</f>
        <v>Q2 2021</v>
      </c>
    </row>
    <row r="15" spans="1:14" x14ac:dyDescent="0.2">
      <c r="A15" s="2" t="s">
        <v>23</v>
      </c>
      <c r="B15" s="10">
        <v>44286</v>
      </c>
      <c r="C15" s="5">
        <v>922</v>
      </c>
      <c r="D15" s="1">
        <f>LEN(VolumebyClient[[#This Row],[CLID]])</f>
        <v>7</v>
      </c>
      <c r="F15" s="1" t="str">
        <f>INDEX(GeobyClient[GEOID],MATCH(VolumebyClient[[#This Row],[CLID]],GeobyClient[Right],0))</f>
        <v>GEO1004</v>
      </c>
      <c r="G15" s="1" t="str">
        <f>VLOOKUP(VolumebyClient[[#This Row],[Index Match Region ID]],GEONames[[GEOID]:[GEO NAME]],2,FALSE)</f>
        <v>LATAM</v>
      </c>
      <c r="H15" s="1" t="str">
        <f>"Q"&amp;ROUNDUP(MONTH(VolumebyClient[[#This Row],[Date]])/3,0)&amp;" "&amp;YEAR(VolumebyClient[[#This Row],[Date]])</f>
        <v>Q1 2021</v>
      </c>
      <c r="I15" s="1" t="str">
        <f>VLOOKUP(VolumebyClient[[#This Row],[Date]],Quarters[],3,TRUE)</f>
        <v>Q1 2021</v>
      </c>
    </row>
    <row r="16" spans="1:14" x14ac:dyDescent="0.2">
      <c r="A16" s="2" t="s">
        <v>23</v>
      </c>
      <c r="B16" s="10">
        <v>44255</v>
      </c>
      <c r="C16" s="5">
        <v>668</v>
      </c>
      <c r="D16" s="1">
        <f>LEN(VolumebyClient[[#This Row],[CLID]])</f>
        <v>7</v>
      </c>
      <c r="F16" s="1" t="str">
        <f>INDEX(GeobyClient[GEOID],MATCH(VolumebyClient[[#This Row],[CLID]],GeobyClient[Right],0))</f>
        <v>GEO1004</v>
      </c>
      <c r="G16" s="1" t="str">
        <f>VLOOKUP(VolumebyClient[[#This Row],[Index Match Region ID]],GEONames[[GEOID]:[GEO NAME]],2,FALSE)</f>
        <v>LATAM</v>
      </c>
      <c r="H16" s="1" t="str">
        <f>"Q"&amp;ROUNDUP(MONTH(VolumebyClient[[#This Row],[Date]])/3,0)&amp;" "&amp;YEAR(VolumebyClient[[#This Row],[Date]])</f>
        <v>Q1 2021</v>
      </c>
      <c r="I16" s="1" t="str">
        <f>VLOOKUP(VolumebyClient[[#This Row],[Date]],Quarters[],3,TRUE)</f>
        <v>Q1 2021</v>
      </c>
    </row>
    <row r="17" spans="1:9" x14ac:dyDescent="0.2">
      <c r="A17" s="2" t="s">
        <v>23</v>
      </c>
      <c r="B17" s="10">
        <v>44227</v>
      </c>
      <c r="C17" s="5">
        <v>725</v>
      </c>
      <c r="D17" s="1">
        <f>LEN(VolumebyClient[[#This Row],[CLID]])</f>
        <v>7</v>
      </c>
      <c r="F17" s="1" t="str">
        <f>INDEX(GeobyClient[GEOID],MATCH(VolumebyClient[[#This Row],[CLID]],GeobyClient[Right],0))</f>
        <v>GEO1004</v>
      </c>
      <c r="G17" s="1" t="str">
        <f>VLOOKUP(VolumebyClient[[#This Row],[Index Match Region ID]],GEONames[[GEOID]:[GEO NAME]],2,FALSE)</f>
        <v>LATAM</v>
      </c>
      <c r="H17" s="1" t="str">
        <f>"Q"&amp;ROUNDUP(MONTH(VolumebyClient[[#This Row],[Date]])/3,0)&amp;" "&amp;YEAR(VolumebyClient[[#This Row],[Date]])</f>
        <v>Q1 2021</v>
      </c>
      <c r="I17" s="1" t="str">
        <f>VLOOKUP(VolumebyClient[[#This Row],[Date]],Quarters[],3,TRUE)</f>
        <v>Q1 2021</v>
      </c>
    </row>
    <row r="18" spans="1:9" x14ac:dyDescent="0.2">
      <c r="A18" s="2" t="s">
        <v>33</v>
      </c>
      <c r="B18" s="10">
        <v>43861</v>
      </c>
      <c r="C18" s="5">
        <v>1194</v>
      </c>
      <c r="D18" s="1">
        <f>LEN(VolumebyClient[[#This Row],[CLID]])</f>
        <v>7</v>
      </c>
      <c r="F18" s="1" t="str">
        <f>INDEX(GeobyClient[GEOID],MATCH(VolumebyClient[[#This Row],[CLID]],GeobyClient[Right],0))</f>
        <v>GEO1001</v>
      </c>
      <c r="G18" s="1" t="str">
        <f>VLOOKUP(VolumebyClient[[#This Row],[Index Match Region ID]],GEONames[[GEOID]:[GEO NAME]],2,FALSE)</f>
        <v>NAM</v>
      </c>
      <c r="H18" s="1" t="str">
        <f>"Q"&amp;ROUNDUP(MONTH(VolumebyClient[[#This Row],[Date]])/3,0)&amp;" "&amp;YEAR(VolumebyClient[[#This Row],[Date]])</f>
        <v>Q1 2020</v>
      </c>
      <c r="I18" s="1" t="str">
        <f>VLOOKUP(VolumebyClient[[#This Row],[Date]],Quarters[],3,TRUE)</f>
        <v>Q1 2020</v>
      </c>
    </row>
    <row r="19" spans="1:9" x14ac:dyDescent="0.2">
      <c r="A19" s="2" t="s">
        <v>33</v>
      </c>
      <c r="B19" s="10">
        <v>43890</v>
      </c>
      <c r="C19" s="5">
        <v>942</v>
      </c>
      <c r="D19" s="1">
        <f>LEN(VolumebyClient[[#This Row],[CLID]])</f>
        <v>7</v>
      </c>
      <c r="F19" s="1" t="str">
        <f>INDEX(GeobyClient[GEOID],MATCH(VolumebyClient[[#This Row],[CLID]],GeobyClient[Right],0))</f>
        <v>GEO1001</v>
      </c>
      <c r="G19" s="1" t="str">
        <f>VLOOKUP(VolumebyClient[[#This Row],[Index Match Region ID]],GEONames[[GEOID]:[GEO NAME]],2,FALSE)</f>
        <v>NAM</v>
      </c>
      <c r="H19" s="1" t="str">
        <f>"Q"&amp;ROUNDUP(MONTH(VolumebyClient[[#This Row],[Date]])/3,0)&amp;" "&amp;YEAR(VolumebyClient[[#This Row],[Date]])</f>
        <v>Q1 2020</v>
      </c>
      <c r="I19" s="1" t="str">
        <f>VLOOKUP(VolumebyClient[[#This Row],[Date]],Quarters[],3,TRUE)</f>
        <v>Q1 2020</v>
      </c>
    </row>
    <row r="20" spans="1:9" x14ac:dyDescent="0.2">
      <c r="A20" s="2" t="s">
        <v>33</v>
      </c>
      <c r="B20" s="10">
        <v>43921</v>
      </c>
      <c r="C20" s="5">
        <v>1448</v>
      </c>
      <c r="D20" s="1">
        <f>LEN(VolumebyClient[[#This Row],[CLID]])</f>
        <v>7</v>
      </c>
      <c r="F20" s="1" t="str">
        <f>INDEX(GeobyClient[GEOID],MATCH(VolumebyClient[[#This Row],[CLID]],GeobyClient[Right],0))</f>
        <v>GEO1001</v>
      </c>
      <c r="G20" s="1" t="str">
        <f>VLOOKUP(VolumebyClient[[#This Row],[Index Match Region ID]],GEONames[[GEOID]:[GEO NAME]],2,FALSE)</f>
        <v>NAM</v>
      </c>
      <c r="H20" s="1" t="str">
        <f>"Q"&amp;ROUNDUP(MONTH(VolumebyClient[[#This Row],[Date]])/3,0)&amp;" "&amp;YEAR(VolumebyClient[[#This Row],[Date]])</f>
        <v>Q1 2020</v>
      </c>
      <c r="I20" s="1" t="str">
        <f>VLOOKUP(VolumebyClient[[#This Row],[Date]],Quarters[],3,TRUE)</f>
        <v>Q1 2020</v>
      </c>
    </row>
    <row r="21" spans="1:9" x14ac:dyDescent="0.2">
      <c r="A21" s="2" t="s">
        <v>33</v>
      </c>
      <c r="B21" s="10">
        <v>43951</v>
      </c>
      <c r="C21" s="5">
        <v>1323</v>
      </c>
      <c r="D21" s="1">
        <f>LEN(VolumebyClient[[#This Row],[CLID]])</f>
        <v>7</v>
      </c>
      <c r="F21" s="1" t="str">
        <f>INDEX(GeobyClient[GEOID],MATCH(VolumebyClient[[#This Row],[CLID]],GeobyClient[Right],0))</f>
        <v>GEO1001</v>
      </c>
      <c r="G21" s="1" t="str">
        <f>VLOOKUP(VolumebyClient[[#This Row],[Index Match Region ID]],GEONames[[GEOID]:[GEO NAME]],2,FALSE)</f>
        <v>NAM</v>
      </c>
      <c r="H21" s="1" t="str">
        <f>"Q"&amp;ROUNDUP(MONTH(VolumebyClient[[#This Row],[Date]])/3,0)&amp;" "&amp;YEAR(VolumebyClient[[#This Row],[Date]])</f>
        <v>Q2 2020</v>
      </c>
      <c r="I21" s="1" t="str">
        <f>VLOOKUP(VolumebyClient[[#This Row],[Date]],Quarters[],3,TRUE)</f>
        <v>Q2 2020</v>
      </c>
    </row>
    <row r="22" spans="1:9" x14ac:dyDescent="0.2">
      <c r="A22" s="2" t="s">
        <v>33</v>
      </c>
      <c r="B22" s="10">
        <v>43982</v>
      </c>
      <c r="C22" s="5">
        <v>1573</v>
      </c>
      <c r="D22" s="1">
        <f>LEN(VolumebyClient[[#This Row],[CLID]])</f>
        <v>7</v>
      </c>
      <c r="F22" s="1" t="str">
        <f>INDEX(GeobyClient[GEOID],MATCH(VolumebyClient[[#This Row],[CLID]],GeobyClient[Right],0))</f>
        <v>GEO1001</v>
      </c>
      <c r="G22" s="1" t="str">
        <f>VLOOKUP(VolumebyClient[[#This Row],[Index Match Region ID]],GEONames[[GEOID]:[GEO NAME]],2,FALSE)</f>
        <v>NAM</v>
      </c>
      <c r="H22" s="1" t="str">
        <f>"Q"&amp;ROUNDUP(MONTH(VolumebyClient[[#This Row],[Date]])/3,0)&amp;" "&amp;YEAR(VolumebyClient[[#This Row],[Date]])</f>
        <v>Q2 2020</v>
      </c>
      <c r="I22" s="1" t="str">
        <f>VLOOKUP(VolumebyClient[[#This Row],[Date]],Quarters[],3,TRUE)</f>
        <v>Q2 2020</v>
      </c>
    </row>
    <row r="23" spans="1:9" x14ac:dyDescent="0.2">
      <c r="A23" s="2" t="s">
        <v>33</v>
      </c>
      <c r="B23" s="10">
        <v>44012</v>
      </c>
      <c r="C23" s="5">
        <v>820</v>
      </c>
      <c r="D23" s="1">
        <f>LEN(VolumebyClient[[#This Row],[CLID]])</f>
        <v>7</v>
      </c>
      <c r="F23" s="1" t="str">
        <f>INDEX(GeobyClient[GEOID],MATCH(VolumebyClient[[#This Row],[CLID]],GeobyClient[Right],0))</f>
        <v>GEO1001</v>
      </c>
      <c r="G23" s="1" t="str">
        <f>VLOOKUP(VolumebyClient[[#This Row],[Index Match Region ID]],GEONames[[GEOID]:[GEO NAME]],2,FALSE)</f>
        <v>NAM</v>
      </c>
      <c r="H23" s="1" t="str">
        <f>"Q"&amp;ROUNDUP(MONTH(VolumebyClient[[#This Row],[Date]])/3,0)&amp;" "&amp;YEAR(VolumebyClient[[#This Row],[Date]])</f>
        <v>Q2 2020</v>
      </c>
      <c r="I23" s="1" t="str">
        <f>VLOOKUP(VolumebyClient[[#This Row],[Date]],Quarters[],3,TRUE)</f>
        <v>Q2 2020</v>
      </c>
    </row>
    <row r="24" spans="1:9" x14ac:dyDescent="0.2">
      <c r="A24" s="2" t="s">
        <v>33</v>
      </c>
      <c r="B24" s="10">
        <v>44043</v>
      </c>
      <c r="C24" s="5">
        <v>1069</v>
      </c>
      <c r="D24" s="1">
        <f>LEN(VolumebyClient[[#This Row],[CLID]])</f>
        <v>7</v>
      </c>
      <c r="F24" s="1" t="str">
        <f>INDEX(GeobyClient[GEOID],MATCH(VolumebyClient[[#This Row],[CLID]],GeobyClient[Right],0))</f>
        <v>GEO1001</v>
      </c>
      <c r="G24" s="1" t="str">
        <f>VLOOKUP(VolumebyClient[[#This Row],[Index Match Region ID]],GEONames[[GEOID]:[GEO NAME]],2,FALSE)</f>
        <v>NAM</v>
      </c>
      <c r="H24" s="1" t="str">
        <f>"Q"&amp;ROUNDUP(MONTH(VolumebyClient[[#This Row],[Date]])/3,0)&amp;" "&amp;YEAR(VolumebyClient[[#This Row],[Date]])</f>
        <v>Q3 2020</v>
      </c>
      <c r="I24" s="1" t="str">
        <f>VLOOKUP(VolumebyClient[[#This Row],[Date]],Quarters[],3,TRUE)</f>
        <v>Q3 2020</v>
      </c>
    </row>
    <row r="25" spans="1:9" x14ac:dyDescent="0.2">
      <c r="A25" s="2" t="s">
        <v>33</v>
      </c>
      <c r="B25" s="10">
        <v>44074</v>
      </c>
      <c r="C25" s="5">
        <v>571</v>
      </c>
      <c r="D25" s="1">
        <f>LEN(VolumebyClient[[#This Row],[CLID]])</f>
        <v>7</v>
      </c>
      <c r="F25" s="1" t="str">
        <f>INDEX(GeobyClient[GEOID],MATCH(VolumebyClient[[#This Row],[CLID]],GeobyClient[Right],0))</f>
        <v>GEO1001</v>
      </c>
      <c r="G25" s="1" t="str">
        <f>VLOOKUP(VolumebyClient[[#This Row],[Index Match Region ID]],GEONames[[GEOID]:[GEO NAME]],2,FALSE)</f>
        <v>NAM</v>
      </c>
      <c r="H25" s="1" t="str">
        <f>"Q"&amp;ROUNDUP(MONTH(VolumebyClient[[#This Row],[Date]])/3,0)&amp;" "&amp;YEAR(VolumebyClient[[#This Row],[Date]])</f>
        <v>Q3 2020</v>
      </c>
      <c r="I25" s="1" t="str">
        <f>VLOOKUP(VolumebyClient[[#This Row],[Date]],Quarters[],3,TRUE)</f>
        <v>Q3 2020</v>
      </c>
    </row>
    <row r="26" spans="1:9" x14ac:dyDescent="0.2">
      <c r="A26" s="2" t="s">
        <v>33</v>
      </c>
      <c r="B26" s="10">
        <v>44104</v>
      </c>
      <c r="C26" s="5">
        <v>947</v>
      </c>
      <c r="D26" s="1">
        <f>LEN(VolumebyClient[[#This Row],[CLID]])</f>
        <v>7</v>
      </c>
      <c r="F26" s="1" t="str">
        <f>INDEX(GeobyClient[GEOID],MATCH(VolumebyClient[[#This Row],[CLID]],GeobyClient[Right],0))</f>
        <v>GEO1001</v>
      </c>
      <c r="G26" s="1" t="str">
        <f>VLOOKUP(VolumebyClient[[#This Row],[Index Match Region ID]],GEONames[[GEOID]:[GEO NAME]],2,FALSE)</f>
        <v>NAM</v>
      </c>
      <c r="H26" s="1" t="str">
        <f>"Q"&amp;ROUNDUP(MONTH(VolumebyClient[[#This Row],[Date]])/3,0)&amp;" "&amp;YEAR(VolumebyClient[[#This Row],[Date]])</f>
        <v>Q3 2020</v>
      </c>
      <c r="I26" s="1" t="str">
        <f>VLOOKUP(VolumebyClient[[#This Row],[Date]],Quarters[],3,TRUE)</f>
        <v>Q3 2020</v>
      </c>
    </row>
    <row r="27" spans="1:9" x14ac:dyDescent="0.2">
      <c r="A27" s="2" t="s">
        <v>33</v>
      </c>
      <c r="B27" s="10">
        <v>44135</v>
      </c>
      <c r="C27" s="5">
        <v>694</v>
      </c>
      <c r="D27" s="1">
        <f>LEN(VolumebyClient[[#This Row],[CLID]])</f>
        <v>7</v>
      </c>
      <c r="F27" s="1" t="str">
        <f>INDEX(GeobyClient[GEOID],MATCH(VolumebyClient[[#This Row],[CLID]],GeobyClient[Right],0))</f>
        <v>GEO1001</v>
      </c>
      <c r="G27" s="1" t="str">
        <f>VLOOKUP(VolumebyClient[[#This Row],[Index Match Region ID]],GEONames[[GEOID]:[GEO NAME]],2,FALSE)</f>
        <v>NAM</v>
      </c>
      <c r="H27" s="1" t="str">
        <f>"Q"&amp;ROUNDUP(MONTH(VolumebyClient[[#This Row],[Date]])/3,0)&amp;" "&amp;YEAR(VolumebyClient[[#This Row],[Date]])</f>
        <v>Q4 2020</v>
      </c>
      <c r="I27" s="1" t="str">
        <f>VLOOKUP(VolumebyClient[[#This Row],[Date]],Quarters[],3,TRUE)</f>
        <v>Q4 2020</v>
      </c>
    </row>
    <row r="28" spans="1:9" x14ac:dyDescent="0.2">
      <c r="A28" s="2" t="s">
        <v>33</v>
      </c>
      <c r="B28" s="10">
        <v>44165</v>
      </c>
      <c r="C28" s="5">
        <v>1197</v>
      </c>
      <c r="D28" s="1">
        <f>LEN(VolumebyClient[[#This Row],[CLID]])</f>
        <v>7</v>
      </c>
      <c r="F28" s="1" t="str">
        <f>INDEX(GeobyClient[GEOID],MATCH(VolumebyClient[[#This Row],[CLID]],GeobyClient[Right],0))</f>
        <v>GEO1001</v>
      </c>
      <c r="G28" s="1" t="str">
        <f>VLOOKUP(VolumebyClient[[#This Row],[Index Match Region ID]],GEONames[[GEOID]:[GEO NAME]],2,FALSE)</f>
        <v>NAM</v>
      </c>
      <c r="H28" s="1" t="str">
        <f>"Q"&amp;ROUNDUP(MONTH(VolumebyClient[[#This Row],[Date]])/3,0)&amp;" "&amp;YEAR(VolumebyClient[[#This Row],[Date]])</f>
        <v>Q4 2020</v>
      </c>
      <c r="I28" s="1" t="str">
        <f>VLOOKUP(VolumebyClient[[#This Row],[Date]],Quarters[],3,TRUE)</f>
        <v>Q4 2020</v>
      </c>
    </row>
    <row r="29" spans="1:9" x14ac:dyDescent="0.2">
      <c r="A29" s="2" t="s">
        <v>33</v>
      </c>
      <c r="B29" s="10">
        <v>44196</v>
      </c>
      <c r="C29" s="5">
        <v>822</v>
      </c>
      <c r="D29" s="1">
        <f>LEN(VolumebyClient[[#This Row],[CLID]])</f>
        <v>7</v>
      </c>
      <c r="F29" s="1" t="str">
        <f>INDEX(GeobyClient[GEOID],MATCH(VolumebyClient[[#This Row],[CLID]],GeobyClient[Right],0))</f>
        <v>GEO1001</v>
      </c>
      <c r="G29" s="1" t="str">
        <f>VLOOKUP(VolumebyClient[[#This Row],[Index Match Region ID]],GEONames[[GEOID]:[GEO NAME]],2,FALSE)</f>
        <v>NAM</v>
      </c>
      <c r="H29" s="1" t="str">
        <f>"Q"&amp;ROUNDUP(MONTH(VolumebyClient[[#This Row],[Date]])/3,0)&amp;" "&amp;YEAR(VolumebyClient[[#This Row],[Date]])</f>
        <v>Q4 2020</v>
      </c>
      <c r="I29" s="1" t="str">
        <f>VLOOKUP(VolumebyClient[[#This Row],[Date]],Quarters[],3,TRUE)</f>
        <v>Q4 2020</v>
      </c>
    </row>
    <row r="30" spans="1:9" x14ac:dyDescent="0.2">
      <c r="A30" s="2" t="s">
        <v>33</v>
      </c>
      <c r="B30" s="10">
        <v>44377</v>
      </c>
      <c r="C30" s="5">
        <v>846</v>
      </c>
      <c r="D30" s="1">
        <f>LEN(VolumebyClient[[#This Row],[CLID]])</f>
        <v>7</v>
      </c>
      <c r="F30" s="1" t="str">
        <f>INDEX(GeobyClient[GEOID],MATCH(VolumebyClient[[#This Row],[CLID]],GeobyClient[Right],0))</f>
        <v>GEO1001</v>
      </c>
      <c r="G30" s="1" t="str">
        <f>VLOOKUP(VolumebyClient[[#This Row],[Index Match Region ID]],GEONames[[GEOID]:[GEO NAME]],2,FALSE)</f>
        <v>NAM</v>
      </c>
      <c r="H30" s="1" t="str">
        <f>"Q"&amp;ROUNDUP(MONTH(VolumebyClient[[#This Row],[Date]])/3,0)&amp;" "&amp;YEAR(VolumebyClient[[#This Row],[Date]])</f>
        <v>Q2 2021</v>
      </c>
      <c r="I30" s="1" t="str">
        <f>VLOOKUP(VolumebyClient[[#This Row],[Date]],Quarters[],3,TRUE)</f>
        <v>Q2 2021</v>
      </c>
    </row>
    <row r="31" spans="1:9" x14ac:dyDescent="0.2">
      <c r="A31" s="2" t="s">
        <v>33</v>
      </c>
      <c r="B31" s="10">
        <v>44347</v>
      </c>
      <c r="C31" s="5">
        <v>1553</v>
      </c>
      <c r="D31" s="1">
        <f>LEN(VolumebyClient[[#This Row],[CLID]])</f>
        <v>7</v>
      </c>
      <c r="F31" s="1" t="str">
        <f>INDEX(GeobyClient[GEOID],MATCH(VolumebyClient[[#This Row],[CLID]],GeobyClient[Right],0))</f>
        <v>GEO1001</v>
      </c>
      <c r="G31" s="1" t="str">
        <f>VLOOKUP(VolumebyClient[[#This Row],[Index Match Region ID]],GEONames[[GEOID]:[GEO NAME]],2,FALSE)</f>
        <v>NAM</v>
      </c>
      <c r="H31" s="1" t="str">
        <f>"Q"&amp;ROUNDUP(MONTH(VolumebyClient[[#This Row],[Date]])/3,0)&amp;" "&amp;YEAR(VolumebyClient[[#This Row],[Date]])</f>
        <v>Q2 2021</v>
      </c>
      <c r="I31" s="1" t="str">
        <f>VLOOKUP(VolumebyClient[[#This Row],[Date]],Quarters[],3,TRUE)</f>
        <v>Q2 2021</v>
      </c>
    </row>
    <row r="32" spans="1:9" x14ac:dyDescent="0.2">
      <c r="A32" s="2" t="s">
        <v>33</v>
      </c>
      <c r="B32" s="10">
        <v>44316</v>
      </c>
      <c r="C32" s="5">
        <v>1344</v>
      </c>
      <c r="D32" s="1">
        <f>LEN(VolumebyClient[[#This Row],[CLID]])</f>
        <v>7</v>
      </c>
      <c r="F32" s="1" t="str">
        <f>INDEX(GeobyClient[GEOID],MATCH(VolumebyClient[[#This Row],[CLID]],GeobyClient[Right],0))</f>
        <v>GEO1001</v>
      </c>
      <c r="G32" s="1" t="str">
        <f>VLOOKUP(VolumebyClient[[#This Row],[Index Match Region ID]],GEONames[[GEOID]:[GEO NAME]],2,FALSE)</f>
        <v>NAM</v>
      </c>
      <c r="H32" s="1" t="str">
        <f>"Q"&amp;ROUNDUP(MONTH(VolumebyClient[[#This Row],[Date]])/3,0)&amp;" "&amp;YEAR(VolumebyClient[[#This Row],[Date]])</f>
        <v>Q2 2021</v>
      </c>
      <c r="I32" s="1" t="str">
        <f>VLOOKUP(VolumebyClient[[#This Row],[Date]],Quarters[],3,TRUE)</f>
        <v>Q2 2021</v>
      </c>
    </row>
    <row r="33" spans="1:9" x14ac:dyDescent="0.2">
      <c r="A33" s="2" t="s">
        <v>33</v>
      </c>
      <c r="B33" s="10">
        <v>44286</v>
      </c>
      <c r="C33" s="5">
        <v>1436</v>
      </c>
      <c r="D33" s="1">
        <f>LEN(VolumebyClient[[#This Row],[CLID]])</f>
        <v>7</v>
      </c>
      <c r="F33" s="1" t="str">
        <f>INDEX(GeobyClient[GEOID],MATCH(VolumebyClient[[#This Row],[CLID]],GeobyClient[Right],0))</f>
        <v>GEO1001</v>
      </c>
      <c r="G33" s="1" t="str">
        <f>VLOOKUP(VolumebyClient[[#This Row],[Index Match Region ID]],GEONames[[GEOID]:[GEO NAME]],2,FALSE)</f>
        <v>NAM</v>
      </c>
      <c r="H33" s="1" t="str">
        <f>"Q"&amp;ROUNDUP(MONTH(VolumebyClient[[#This Row],[Date]])/3,0)&amp;" "&amp;YEAR(VolumebyClient[[#This Row],[Date]])</f>
        <v>Q1 2021</v>
      </c>
      <c r="I33" s="1" t="str">
        <f>VLOOKUP(VolumebyClient[[#This Row],[Date]],Quarters[],3,TRUE)</f>
        <v>Q1 2021</v>
      </c>
    </row>
    <row r="34" spans="1:9" x14ac:dyDescent="0.2">
      <c r="A34" s="2" t="s">
        <v>33</v>
      </c>
      <c r="B34" s="10">
        <v>44255</v>
      </c>
      <c r="C34" s="5">
        <v>970</v>
      </c>
      <c r="D34" s="1">
        <f>LEN(VolumebyClient[[#This Row],[CLID]])</f>
        <v>7</v>
      </c>
      <c r="F34" s="1" t="str">
        <f>INDEX(GeobyClient[GEOID],MATCH(VolumebyClient[[#This Row],[CLID]],GeobyClient[Right],0))</f>
        <v>GEO1001</v>
      </c>
      <c r="G34" s="1" t="str">
        <f>VLOOKUP(VolumebyClient[[#This Row],[Index Match Region ID]],GEONames[[GEOID]:[GEO NAME]],2,FALSE)</f>
        <v>NAM</v>
      </c>
      <c r="H34" s="1" t="str">
        <f>"Q"&amp;ROUNDUP(MONTH(VolumebyClient[[#This Row],[Date]])/3,0)&amp;" "&amp;YEAR(VolumebyClient[[#This Row],[Date]])</f>
        <v>Q1 2021</v>
      </c>
      <c r="I34" s="1" t="str">
        <f>VLOOKUP(VolumebyClient[[#This Row],[Date]],Quarters[],3,TRUE)</f>
        <v>Q1 2021</v>
      </c>
    </row>
    <row r="35" spans="1:9" x14ac:dyDescent="0.2">
      <c r="A35" s="2" t="s">
        <v>33</v>
      </c>
      <c r="B35" s="10">
        <v>44227</v>
      </c>
      <c r="C35" s="5">
        <v>1207</v>
      </c>
      <c r="D35" s="1">
        <f>LEN(VolumebyClient[[#This Row],[CLID]])</f>
        <v>7</v>
      </c>
      <c r="F35" s="1" t="str">
        <f>INDEX(GeobyClient[GEOID],MATCH(VolumebyClient[[#This Row],[CLID]],GeobyClient[Right],0))</f>
        <v>GEO1001</v>
      </c>
      <c r="G35" s="1" t="str">
        <f>VLOOKUP(VolumebyClient[[#This Row],[Index Match Region ID]],GEONames[[GEOID]:[GEO NAME]],2,FALSE)</f>
        <v>NAM</v>
      </c>
      <c r="H35" s="1" t="str">
        <f>"Q"&amp;ROUNDUP(MONTH(VolumebyClient[[#This Row],[Date]])/3,0)&amp;" "&amp;YEAR(VolumebyClient[[#This Row],[Date]])</f>
        <v>Q1 2021</v>
      </c>
      <c r="I35" s="1" t="str">
        <f>VLOOKUP(VolumebyClient[[#This Row],[Date]],Quarters[],3,TRUE)</f>
        <v>Q1 2021</v>
      </c>
    </row>
    <row r="36" spans="1:9" x14ac:dyDescent="0.2">
      <c r="A36" s="2" t="s">
        <v>22</v>
      </c>
      <c r="B36" s="10">
        <v>43861</v>
      </c>
      <c r="C36" s="5">
        <v>532</v>
      </c>
      <c r="D36" s="1">
        <f>LEN(VolumebyClient[[#This Row],[CLID]])</f>
        <v>7</v>
      </c>
      <c r="F36" s="1" t="str">
        <f>INDEX(GeobyClient[GEOID],MATCH(VolumebyClient[[#This Row],[CLID]],GeobyClient[Right],0))</f>
        <v>GEO1003</v>
      </c>
      <c r="G36" s="1" t="str">
        <f>VLOOKUP(VolumebyClient[[#This Row],[Index Match Region ID]],GEONames[[GEOID]:[GEO NAME]],2,FALSE)</f>
        <v>EMEA</v>
      </c>
      <c r="H36" s="1" t="str">
        <f>"Q"&amp;ROUNDUP(MONTH(VolumebyClient[[#This Row],[Date]])/3,0)&amp;" "&amp;YEAR(VolumebyClient[[#This Row],[Date]])</f>
        <v>Q1 2020</v>
      </c>
      <c r="I36" s="1" t="str">
        <f>VLOOKUP(VolumebyClient[[#This Row],[Date]],Quarters[],3,TRUE)</f>
        <v>Q1 2020</v>
      </c>
    </row>
    <row r="37" spans="1:9" x14ac:dyDescent="0.2">
      <c r="A37" s="2" t="s">
        <v>22</v>
      </c>
      <c r="B37" s="10">
        <v>43890</v>
      </c>
      <c r="C37" s="5">
        <v>760</v>
      </c>
      <c r="D37" s="1">
        <f>LEN(VolumebyClient[[#This Row],[CLID]])</f>
        <v>7</v>
      </c>
      <c r="F37" s="1" t="str">
        <f>INDEX(GeobyClient[GEOID],MATCH(VolumebyClient[[#This Row],[CLID]],GeobyClient[Right],0))</f>
        <v>GEO1003</v>
      </c>
      <c r="G37" s="1" t="str">
        <f>VLOOKUP(VolumebyClient[[#This Row],[Index Match Region ID]],GEONames[[GEOID]:[GEO NAME]],2,FALSE)</f>
        <v>EMEA</v>
      </c>
      <c r="H37" s="1" t="str">
        <f>"Q"&amp;ROUNDUP(MONTH(VolumebyClient[[#This Row],[Date]])/3,0)&amp;" "&amp;YEAR(VolumebyClient[[#This Row],[Date]])</f>
        <v>Q1 2020</v>
      </c>
      <c r="I37" s="1" t="str">
        <f>VLOOKUP(VolumebyClient[[#This Row],[Date]],Quarters[],3,TRUE)</f>
        <v>Q1 2020</v>
      </c>
    </row>
    <row r="38" spans="1:9" x14ac:dyDescent="0.2">
      <c r="A38" s="2" t="s">
        <v>22</v>
      </c>
      <c r="B38" s="10">
        <v>43921</v>
      </c>
      <c r="C38" s="5">
        <v>682</v>
      </c>
      <c r="D38" s="1">
        <f>LEN(VolumebyClient[[#This Row],[CLID]])</f>
        <v>7</v>
      </c>
      <c r="F38" s="1" t="str">
        <f>INDEX(GeobyClient[GEOID],MATCH(VolumebyClient[[#This Row],[CLID]],GeobyClient[Right],0))</f>
        <v>GEO1003</v>
      </c>
      <c r="G38" s="1" t="str">
        <f>VLOOKUP(VolumebyClient[[#This Row],[Index Match Region ID]],GEONames[[GEOID]:[GEO NAME]],2,FALSE)</f>
        <v>EMEA</v>
      </c>
      <c r="H38" s="1" t="str">
        <f>"Q"&amp;ROUNDUP(MONTH(VolumebyClient[[#This Row],[Date]])/3,0)&amp;" "&amp;YEAR(VolumebyClient[[#This Row],[Date]])</f>
        <v>Q1 2020</v>
      </c>
      <c r="I38" s="1" t="str">
        <f>VLOOKUP(VolumebyClient[[#This Row],[Date]],Quarters[],3,TRUE)</f>
        <v>Q1 2020</v>
      </c>
    </row>
    <row r="39" spans="1:9" x14ac:dyDescent="0.2">
      <c r="A39" s="2" t="s">
        <v>22</v>
      </c>
      <c r="B39" s="10">
        <v>43951</v>
      </c>
      <c r="C39" s="5">
        <v>984</v>
      </c>
      <c r="D39" s="1">
        <f>LEN(VolumebyClient[[#This Row],[CLID]])</f>
        <v>7</v>
      </c>
      <c r="F39" s="1" t="str">
        <f>INDEX(GeobyClient[GEOID],MATCH(VolumebyClient[[#This Row],[CLID]],GeobyClient[Right],0))</f>
        <v>GEO1003</v>
      </c>
      <c r="G39" s="1" t="str">
        <f>VLOOKUP(VolumebyClient[[#This Row],[Index Match Region ID]],GEONames[[GEOID]:[GEO NAME]],2,FALSE)</f>
        <v>EMEA</v>
      </c>
      <c r="H39" s="1" t="str">
        <f>"Q"&amp;ROUNDUP(MONTH(VolumebyClient[[#This Row],[Date]])/3,0)&amp;" "&amp;YEAR(VolumebyClient[[#This Row],[Date]])</f>
        <v>Q2 2020</v>
      </c>
      <c r="I39" s="1" t="str">
        <f>VLOOKUP(VolumebyClient[[#This Row],[Date]],Quarters[],3,TRUE)</f>
        <v>Q2 2020</v>
      </c>
    </row>
    <row r="40" spans="1:9" x14ac:dyDescent="0.2">
      <c r="A40" s="2" t="s">
        <v>22</v>
      </c>
      <c r="B40" s="10">
        <v>43982</v>
      </c>
      <c r="C40" s="5">
        <v>760</v>
      </c>
      <c r="D40" s="1">
        <f>LEN(VolumebyClient[[#This Row],[CLID]])</f>
        <v>7</v>
      </c>
      <c r="F40" s="1" t="str">
        <f>INDEX(GeobyClient[GEOID],MATCH(VolumebyClient[[#This Row],[CLID]],GeobyClient[Right],0))</f>
        <v>GEO1003</v>
      </c>
      <c r="G40" s="1" t="str">
        <f>VLOOKUP(VolumebyClient[[#This Row],[Index Match Region ID]],GEONames[[GEOID]:[GEO NAME]],2,FALSE)</f>
        <v>EMEA</v>
      </c>
      <c r="H40" s="1" t="str">
        <f>"Q"&amp;ROUNDUP(MONTH(VolumebyClient[[#This Row],[Date]])/3,0)&amp;" "&amp;YEAR(VolumebyClient[[#This Row],[Date]])</f>
        <v>Q2 2020</v>
      </c>
      <c r="I40" s="1" t="str">
        <f>VLOOKUP(VolumebyClient[[#This Row],[Date]],Quarters[],3,TRUE)</f>
        <v>Q2 2020</v>
      </c>
    </row>
    <row r="41" spans="1:9" x14ac:dyDescent="0.2">
      <c r="A41" s="2" t="s">
        <v>22</v>
      </c>
      <c r="B41" s="10">
        <v>44012</v>
      </c>
      <c r="C41" s="5">
        <v>681</v>
      </c>
      <c r="D41" s="1">
        <f>LEN(VolumebyClient[[#This Row],[CLID]])</f>
        <v>7</v>
      </c>
      <c r="F41" s="1" t="str">
        <f>INDEX(GeobyClient[GEOID],MATCH(VolumebyClient[[#This Row],[CLID]],GeobyClient[Right],0))</f>
        <v>GEO1003</v>
      </c>
      <c r="G41" s="1" t="str">
        <f>VLOOKUP(VolumebyClient[[#This Row],[Index Match Region ID]],GEONames[[GEOID]:[GEO NAME]],2,FALSE)</f>
        <v>EMEA</v>
      </c>
      <c r="H41" s="1" t="str">
        <f>"Q"&amp;ROUNDUP(MONTH(VolumebyClient[[#This Row],[Date]])/3,0)&amp;" "&amp;YEAR(VolumebyClient[[#This Row],[Date]])</f>
        <v>Q2 2020</v>
      </c>
      <c r="I41" s="1" t="str">
        <f>VLOOKUP(VolumebyClient[[#This Row],[Date]],Quarters[],3,TRUE)</f>
        <v>Q2 2020</v>
      </c>
    </row>
    <row r="42" spans="1:9" x14ac:dyDescent="0.2">
      <c r="A42" s="2" t="s">
        <v>22</v>
      </c>
      <c r="B42" s="10">
        <v>44043</v>
      </c>
      <c r="C42" s="5">
        <v>457</v>
      </c>
      <c r="D42" s="1">
        <f>LEN(VolumebyClient[[#This Row],[CLID]])</f>
        <v>7</v>
      </c>
      <c r="F42" s="1" t="str">
        <f>INDEX(GeobyClient[GEOID],MATCH(VolumebyClient[[#This Row],[CLID]],GeobyClient[Right],0))</f>
        <v>GEO1003</v>
      </c>
      <c r="G42" s="1" t="str">
        <f>VLOOKUP(VolumebyClient[[#This Row],[Index Match Region ID]],GEONames[[GEOID]:[GEO NAME]],2,FALSE)</f>
        <v>EMEA</v>
      </c>
      <c r="H42" s="1" t="str">
        <f>"Q"&amp;ROUNDUP(MONTH(VolumebyClient[[#This Row],[Date]])/3,0)&amp;" "&amp;YEAR(VolumebyClient[[#This Row],[Date]])</f>
        <v>Q3 2020</v>
      </c>
      <c r="I42" s="1" t="str">
        <f>VLOOKUP(VolumebyClient[[#This Row],[Date]],Quarters[],3,TRUE)</f>
        <v>Q3 2020</v>
      </c>
    </row>
    <row r="43" spans="1:9" x14ac:dyDescent="0.2">
      <c r="A43" s="2" t="s">
        <v>22</v>
      </c>
      <c r="B43" s="10">
        <v>44074</v>
      </c>
      <c r="C43" s="5">
        <v>528</v>
      </c>
      <c r="D43" s="1">
        <f>LEN(VolumebyClient[[#This Row],[CLID]])</f>
        <v>7</v>
      </c>
      <c r="F43" s="1" t="str">
        <f>INDEX(GeobyClient[GEOID],MATCH(VolumebyClient[[#This Row],[CLID]],GeobyClient[Right],0))</f>
        <v>GEO1003</v>
      </c>
      <c r="G43" s="1" t="str">
        <f>VLOOKUP(VolumebyClient[[#This Row],[Index Match Region ID]],GEONames[[GEOID]:[GEO NAME]],2,FALSE)</f>
        <v>EMEA</v>
      </c>
      <c r="H43" s="1" t="str">
        <f>"Q"&amp;ROUNDUP(MONTH(VolumebyClient[[#This Row],[Date]])/3,0)&amp;" "&amp;YEAR(VolumebyClient[[#This Row],[Date]])</f>
        <v>Q3 2020</v>
      </c>
      <c r="I43" s="1" t="str">
        <f>VLOOKUP(VolumebyClient[[#This Row],[Date]],Quarters[],3,TRUE)</f>
        <v>Q3 2020</v>
      </c>
    </row>
    <row r="44" spans="1:9" x14ac:dyDescent="0.2">
      <c r="A44" s="2" t="s">
        <v>22</v>
      </c>
      <c r="B44" s="10">
        <v>44104</v>
      </c>
      <c r="C44" s="5">
        <v>377</v>
      </c>
      <c r="D44" s="1">
        <f>LEN(VolumebyClient[[#This Row],[CLID]])</f>
        <v>7</v>
      </c>
      <c r="F44" s="1" t="str">
        <f>INDEX(GeobyClient[GEOID],MATCH(VolumebyClient[[#This Row],[CLID]],GeobyClient[Right],0))</f>
        <v>GEO1003</v>
      </c>
      <c r="G44" s="1" t="str">
        <f>VLOOKUP(VolumebyClient[[#This Row],[Index Match Region ID]],GEONames[[GEOID]:[GEO NAME]],2,FALSE)</f>
        <v>EMEA</v>
      </c>
      <c r="H44" s="1" t="str">
        <f>"Q"&amp;ROUNDUP(MONTH(VolumebyClient[[#This Row],[Date]])/3,0)&amp;" "&amp;YEAR(VolumebyClient[[#This Row],[Date]])</f>
        <v>Q3 2020</v>
      </c>
      <c r="I44" s="1" t="str">
        <f>VLOOKUP(VolumebyClient[[#This Row],[Date]],Quarters[],3,TRUE)</f>
        <v>Q3 2020</v>
      </c>
    </row>
    <row r="45" spans="1:9" x14ac:dyDescent="0.2">
      <c r="A45" s="2" t="s">
        <v>22</v>
      </c>
      <c r="B45" s="10">
        <v>44135</v>
      </c>
      <c r="C45" s="5">
        <v>606</v>
      </c>
      <c r="D45" s="1">
        <f>LEN(VolumebyClient[[#This Row],[CLID]])</f>
        <v>7</v>
      </c>
      <c r="F45" s="1" t="str">
        <f>INDEX(GeobyClient[GEOID],MATCH(VolumebyClient[[#This Row],[CLID]],GeobyClient[Right],0))</f>
        <v>GEO1003</v>
      </c>
      <c r="G45" s="1" t="str">
        <f>VLOOKUP(VolumebyClient[[#This Row],[Index Match Region ID]],GEONames[[GEOID]:[GEO NAME]],2,FALSE)</f>
        <v>EMEA</v>
      </c>
      <c r="H45" s="1" t="str">
        <f>"Q"&amp;ROUNDUP(MONTH(VolumebyClient[[#This Row],[Date]])/3,0)&amp;" "&amp;YEAR(VolumebyClient[[#This Row],[Date]])</f>
        <v>Q4 2020</v>
      </c>
      <c r="I45" s="1" t="str">
        <f>VLOOKUP(VolumebyClient[[#This Row],[Date]],Quarters[],3,TRUE)</f>
        <v>Q4 2020</v>
      </c>
    </row>
    <row r="46" spans="1:9" x14ac:dyDescent="0.2">
      <c r="A46" s="2" t="s">
        <v>22</v>
      </c>
      <c r="B46" s="10">
        <v>44165</v>
      </c>
      <c r="C46" s="5">
        <v>534</v>
      </c>
      <c r="D46" s="1">
        <f>LEN(VolumebyClient[[#This Row],[CLID]])</f>
        <v>7</v>
      </c>
      <c r="F46" s="1" t="str">
        <f>INDEX(GeobyClient[GEOID],MATCH(VolumebyClient[[#This Row],[CLID]],GeobyClient[Right],0))</f>
        <v>GEO1003</v>
      </c>
      <c r="G46" s="1" t="str">
        <f>VLOOKUP(VolumebyClient[[#This Row],[Index Match Region ID]],GEONames[[GEOID]:[GEO NAME]],2,FALSE)</f>
        <v>EMEA</v>
      </c>
      <c r="H46" s="1" t="str">
        <f>"Q"&amp;ROUNDUP(MONTH(VolumebyClient[[#This Row],[Date]])/3,0)&amp;" "&amp;YEAR(VolumebyClient[[#This Row],[Date]])</f>
        <v>Q4 2020</v>
      </c>
      <c r="I46" s="1" t="str">
        <f>VLOOKUP(VolumebyClient[[#This Row],[Date]],Quarters[],3,TRUE)</f>
        <v>Q4 2020</v>
      </c>
    </row>
    <row r="47" spans="1:9" x14ac:dyDescent="0.2">
      <c r="A47" s="2" t="s">
        <v>22</v>
      </c>
      <c r="B47" s="10">
        <v>44196</v>
      </c>
      <c r="C47" s="5">
        <v>681</v>
      </c>
      <c r="D47" s="1">
        <f>LEN(VolumebyClient[[#This Row],[CLID]])</f>
        <v>7</v>
      </c>
      <c r="F47" s="1" t="str">
        <f>INDEX(GeobyClient[GEOID],MATCH(VolumebyClient[[#This Row],[CLID]],GeobyClient[Right],0))</f>
        <v>GEO1003</v>
      </c>
      <c r="G47" s="1" t="str">
        <f>VLOOKUP(VolumebyClient[[#This Row],[Index Match Region ID]],GEONames[[GEOID]:[GEO NAME]],2,FALSE)</f>
        <v>EMEA</v>
      </c>
      <c r="H47" s="1" t="str">
        <f>"Q"&amp;ROUNDUP(MONTH(VolumebyClient[[#This Row],[Date]])/3,0)&amp;" "&amp;YEAR(VolumebyClient[[#This Row],[Date]])</f>
        <v>Q4 2020</v>
      </c>
      <c r="I47" s="1" t="str">
        <f>VLOOKUP(VolumebyClient[[#This Row],[Date]],Quarters[],3,TRUE)</f>
        <v>Q4 2020</v>
      </c>
    </row>
    <row r="48" spans="1:9" x14ac:dyDescent="0.2">
      <c r="A48" s="2" t="s">
        <v>22</v>
      </c>
      <c r="B48" s="10">
        <v>44347</v>
      </c>
      <c r="C48" s="5">
        <v>764</v>
      </c>
      <c r="D48" s="1">
        <f>LEN(VolumebyClient[[#This Row],[CLID]])</f>
        <v>7</v>
      </c>
      <c r="F48" s="1" t="str">
        <f>INDEX(GeobyClient[GEOID],MATCH(VolumebyClient[[#This Row],[CLID]],GeobyClient[Right],0))</f>
        <v>GEO1003</v>
      </c>
      <c r="G48" s="1" t="str">
        <f>VLOOKUP(VolumebyClient[[#This Row],[Index Match Region ID]],GEONames[[GEOID]:[GEO NAME]],2,FALSE)</f>
        <v>EMEA</v>
      </c>
      <c r="H48" s="1" t="str">
        <f>"Q"&amp;ROUNDUP(MONTH(VolumebyClient[[#This Row],[Date]])/3,0)&amp;" "&amp;YEAR(VolumebyClient[[#This Row],[Date]])</f>
        <v>Q2 2021</v>
      </c>
      <c r="I48" s="1" t="str">
        <f>VLOOKUP(VolumebyClient[[#This Row],[Date]],Quarters[],3,TRUE)</f>
        <v>Q2 2021</v>
      </c>
    </row>
    <row r="49" spans="1:9" x14ac:dyDescent="0.2">
      <c r="A49" s="2" t="s">
        <v>22</v>
      </c>
      <c r="B49" s="10">
        <v>44316</v>
      </c>
      <c r="C49" s="5">
        <v>973</v>
      </c>
      <c r="D49" s="1">
        <f>LEN(VolumebyClient[[#This Row],[CLID]])</f>
        <v>7</v>
      </c>
      <c r="F49" s="1" t="str">
        <f>INDEX(GeobyClient[GEOID],MATCH(VolumebyClient[[#This Row],[CLID]],GeobyClient[Right],0))</f>
        <v>GEO1003</v>
      </c>
      <c r="G49" s="1" t="str">
        <f>VLOOKUP(VolumebyClient[[#This Row],[Index Match Region ID]],GEONames[[GEOID]:[GEO NAME]],2,FALSE)</f>
        <v>EMEA</v>
      </c>
      <c r="H49" s="1" t="str">
        <f>"Q"&amp;ROUNDUP(MONTH(VolumebyClient[[#This Row],[Date]])/3,0)&amp;" "&amp;YEAR(VolumebyClient[[#This Row],[Date]])</f>
        <v>Q2 2021</v>
      </c>
      <c r="I49" s="1" t="str">
        <f>VLOOKUP(VolumebyClient[[#This Row],[Date]],Quarters[],3,TRUE)</f>
        <v>Q2 2021</v>
      </c>
    </row>
    <row r="50" spans="1:9" x14ac:dyDescent="0.2">
      <c r="A50" s="2" t="s">
        <v>22</v>
      </c>
      <c r="B50" s="10">
        <v>44286</v>
      </c>
      <c r="C50" s="5">
        <v>688</v>
      </c>
      <c r="D50" s="1">
        <f>LEN(VolumebyClient[[#This Row],[CLID]])</f>
        <v>7</v>
      </c>
      <c r="F50" s="1" t="str">
        <f>INDEX(GeobyClient[GEOID],MATCH(VolumebyClient[[#This Row],[CLID]],GeobyClient[Right],0))</f>
        <v>GEO1003</v>
      </c>
      <c r="G50" s="1" t="str">
        <f>VLOOKUP(VolumebyClient[[#This Row],[Index Match Region ID]],GEONames[[GEOID]:[GEO NAME]],2,FALSE)</f>
        <v>EMEA</v>
      </c>
      <c r="H50" s="1" t="str">
        <f>"Q"&amp;ROUNDUP(MONTH(VolumebyClient[[#This Row],[Date]])/3,0)&amp;" "&amp;YEAR(VolumebyClient[[#This Row],[Date]])</f>
        <v>Q1 2021</v>
      </c>
      <c r="I50" s="1" t="str">
        <f>VLOOKUP(VolumebyClient[[#This Row],[Date]],Quarters[],3,TRUE)</f>
        <v>Q1 2021</v>
      </c>
    </row>
    <row r="51" spans="1:9" x14ac:dyDescent="0.2">
      <c r="A51" s="2" t="s">
        <v>22</v>
      </c>
      <c r="B51" s="10">
        <v>44255</v>
      </c>
      <c r="C51" s="5">
        <v>750</v>
      </c>
      <c r="D51" s="1">
        <f>LEN(VolumebyClient[[#This Row],[CLID]])</f>
        <v>7</v>
      </c>
      <c r="F51" s="1" t="str">
        <f>INDEX(GeobyClient[GEOID],MATCH(VolumebyClient[[#This Row],[CLID]],GeobyClient[Right],0))</f>
        <v>GEO1003</v>
      </c>
      <c r="G51" s="1" t="str">
        <f>VLOOKUP(VolumebyClient[[#This Row],[Index Match Region ID]],GEONames[[GEOID]:[GEO NAME]],2,FALSE)</f>
        <v>EMEA</v>
      </c>
      <c r="H51" s="1" t="str">
        <f>"Q"&amp;ROUNDUP(MONTH(VolumebyClient[[#This Row],[Date]])/3,0)&amp;" "&amp;YEAR(VolumebyClient[[#This Row],[Date]])</f>
        <v>Q1 2021</v>
      </c>
      <c r="I51" s="1" t="str">
        <f>VLOOKUP(VolumebyClient[[#This Row],[Date]],Quarters[],3,TRUE)</f>
        <v>Q1 2021</v>
      </c>
    </row>
    <row r="52" spans="1:9" x14ac:dyDescent="0.2">
      <c r="A52" s="2" t="s">
        <v>22</v>
      </c>
      <c r="B52" s="10">
        <v>44227</v>
      </c>
      <c r="C52" s="5">
        <v>554</v>
      </c>
      <c r="D52" s="1">
        <f>LEN(VolumebyClient[[#This Row],[CLID]])</f>
        <v>7</v>
      </c>
      <c r="F52" s="1" t="str">
        <f>INDEX(GeobyClient[GEOID],MATCH(VolumebyClient[[#This Row],[CLID]],GeobyClient[Right],0))</f>
        <v>GEO1003</v>
      </c>
      <c r="G52" s="1" t="str">
        <f>VLOOKUP(VolumebyClient[[#This Row],[Index Match Region ID]],GEONames[[GEOID]:[GEO NAME]],2,FALSE)</f>
        <v>EMEA</v>
      </c>
      <c r="H52" s="1" t="str">
        <f>"Q"&amp;ROUNDUP(MONTH(VolumebyClient[[#This Row],[Date]])/3,0)&amp;" "&amp;YEAR(VolumebyClient[[#This Row],[Date]])</f>
        <v>Q1 2021</v>
      </c>
      <c r="I52" s="1" t="str">
        <f>VLOOKUP(VolumebyClient[[#This Row],[Date]],Quarters[],3,TRUE)</f>
        <v>Q1 2021</v>
      </c>
    </row>
    <row r="53" spans="1:9" x14ac:dyDescent="0.2">
      <c r="A53" s="2" t="s">
        <v>49</v>
      </c>
      <c r="B53" s="10">
        <v>44012</v>
      </c>
      <c r="C53" s="5">
        <v>1342</v>
      </c>
      <c r="D53" s="1">
        <f>LEN(VolumebyClient[[#This Row],[CLID]])</f>
        <v>7</v>
      </c>
      <c r="F53" s="1" t="str">
        <f>INDEX(GeobyClient[GEOID],MATCH(VolumebyClient[[#This Row],[CLID]],GeobyClient[Right],0))</f>
        <v>GEO1001</v>
      </c>
      <c r="G53" s="1" t="str">
        <f>VLOOKUP(VolumebyClient[[#This Row],[Index Match Region ID]],GEONames[[GEOID]:[GEO NAME]],2,FALSE)</f>
        <v>NAM</v>
      </c>
      <c r="H53" s="1" t="str">
        <f>"Q"&amp;ROUNDUP(MONTH(VolumebyClient[[#This Row],[Date]])/3,0)&amp;" "&amp;YEAR(VolumebyClient[[#This Row],[Date]])</f>
        <v>Q2 2020</v>
      </c>
      <c r="I53" s="1" t="str">
        <f>VLOOKUP(VolumebyClient[[#This Row],[Date]],Quarters[],3,TRUE)</f>
        <v>Q2 2020</v>
      </c>
    </row>
    <row r="54" spans="1:9" x14ac:dyDescent="0.2">
      <c r="A54" s="2" t="s">
        <v>49</v>
      </c>
      <c r="B54" s="10">
        <v>44043</v>
      </c>
      <c r="C54" s="5">
        <v>1526</v>
      </c>
      <c r="D54" s="1">
        <f>LEN(VolumebyClient[[#This Row],[CLID]])</f>
        <v>7</v>
      </c>
      <c r="F54" s="1" t="str">
        <f>INDEX(GeobyClient[GEOID],MATCH(VolumebyClient[[#This Row],[CLID]],GeobyClient[Right],0))</f>
        <v>GEO1001</v>
      </c>
      <c r="G54" s="1" t="str">
        <f>VLOOKUP(VolumebyClient[[#This Row],[Index Match Region ID]],GEONames[[GEOID]:[GEO NAME]],2,FALSE)</f>
        <v>NAM</v>
      </c>
      <c r="H54" s="1" t="str">
        <f>"Q"&amp;ROUNDUP(MONTH(VolumebyClient[[#This Row],[Date]])/3,0)&amp;" "&amp;YEAR(VolumebyClient[[#This Row],[Date]])</f>
        <v>Q3 2020</v>
      </c>
      <c r="I54" s="1" t="str">
        <f>VLOOKUP(VolumebyClient[[#This Row],[Date]],Quarters[],3,TRUE)</f>
        <v>Q3 2020</v>
      </c>
    </row>
    <row r="55" spans="1:9" x14ac:dyDescent="0.2">
      <c r="A55" s="2" t="s">
        <v>49</v>
      </c>
      <c r="B55" s="10">
        <v>44074</v>
      </c>
      <c r="C55" s="5">
        <v>958</v>
      </c>
      <c r="D55" s="1">
        <f>LEN(VolumebyClient[[#This Row],[CLID]])</f>
        <v>7</v>
      </c>
      <c r="F55" s="1" t="str">
        <f>INDEX(GeobyClient[GEOID],MATCH(VolumebyClient[[#This Row],[CLID]],GeobyClient[Right],0))</f>
        <v>GEO1001</v>
      </c>
      <c r="G55" s="1" t="str">
        <f>VLOOKUP(VolumebyClient[[#This Row],[Index Match Region ID]],GEONames[[GEOID]:[GEO NAME]],2,FALSE)</f>
        <v>NAM</v>
      </c>
      <c r="H55" s="1" t="str">
        <f>"Q"&amp;ROUNDUP(MONTH(VolumebyClient[[#This Row],[Date]])/3,0)&amp;" "&amp;YEAR(VolumebyClient[[#This Row],[Date]])</f>
        <v>Q3 2020</v>
      </c>
      <c r="I55" s="1" t="str">
        <f>VLOOKUP(VolumebyClient[[#This Row],[Date]],Quarters[],3,TRUE)</f>
        <v>Q3 2020</v>
      </c>
    </row>
    <row r="56" spans="1:9" x14ac:dyDescent="0.2">
      <c r="A56" s="2" t="s">
        <v>49</v>
      </c>
      <c r="B56" s="10">
        <v>44104</v>
      </c>
      <c r="C56" s="5">
        <v>1340</v>
      </c>
      <c r="D56" s="1">
        <f>LEN(VolumebyClient[[#This Row],[CLID]])</f>
        <v>7</v>
      </c>
      <c r="F56" s="1" t="str">
        <f>INDEX(GeobyClient[GEOID],MATCH(VolumebyClient[[#This Row],[CLID]],GeobyClient[Right],0))</f>
        <v>GEO1001</v>
      </c>
      <c r="G56" s="1" t="str">
        <f>VLOOKUP(VolumebyClient[[#This Row],[Index Match Region ID]],GEONames[[GEOID]:[GEO NAME]],2,FALSE)</f>
        <v>NAM</v>
      </c>
      <c r="H56" s="1" t="str">
        <f>"Q"&amp;ROUNDUP(MONTH(VolumebyClient[[#This Row],[Date]])/3,0)&amp;" "&amp;YEAR(VolumebyClient[[#This Row],[Date]])</f>
        <v>Q3 2020</v>
      </c>
      <c r="I56" s="1" t="str">
        <f>VLOOKUP(VolumebyClient[[#This Row],[Date]],Quarters[],3,TRUE)</f>
        <v>Q3 2020</v>
      </c>
    </row>
    <row r="57" spans="1:9" x14ac:dyDescent="0.2">
      <c r="A57" s="2" t="s">
        <v>49</v>
      </c>
      <c r="B57" s="10">
        <v>44135</v>
      </c>
      <c r="C57" s="5">
        <v>1150</v>
      </c>
      <c r="D57" s="1">
        <f>LEN(VolumebyClient[[#This Row],[CLID]])</f>
        <v>7</v>
      </c>
      <c r="F57" s="1" t="str">
        <f>INDEX(GeobyClient[GEOID],MATCH(VolumebyClient[[#This Row],[CLID]],GeobyClient[Right],0))</f>
        <v>GEO1001</v>
      </c>
      <c r="G57" s="1" t="str">
        <f>VLOOKUP(VolumebyClient[[#This Row],[Index Match Region ID]],GEONames[[GEOID]:[GEO NAME]],2,FALSE)</f>
        <v>NAM</v>
      </c>
      <c r="H57" s="1" t="str">
        <f>"Q"&amp;ROUNDUP(MONTH(VolumebyClient[[#This Row],[Date]])/3,0)&amp;" "&amp;YEAR(VolumebyClient[[#This Row],[Date]])</f>
        <v>Q4 2020</v>
      </c>
      <c r="I57" s="1" t="str">
        <f>VLOOKUP(VolumebyClient[[#This Row],[Date]],Quarters[],3,TRUE)</f>
        <v>Q4 2020</v>
      </c>
    </row>
    <row r="58" spans="1:9" x14ac:dyDescent="0.2">
      <c r="A58" s="2" t="s">
        <v>49</v>
      </c>
      <c r="B58" s="10">
        <v>44165</v>
      </c>
      <c r="C58" s="5">
        <v>1721</v>
      </c>
      <c r="D58" s="1">
        <f>LEN(VolumebyClient[[#This Row],[CLID]])</f>
        <v>7</v>
      </c>
      <c r="F58" s="1" t="str">
        <f>INDEX(GeobyClient[GEOID],MATCH(VolumebyClient[[#This Row],[CLID]],GeobyClient[Right],0))</f>
        <v>GEO1001</v>
      </c>
      <c r="G58" s="1" t="str">
        <f>VLOOKUP(VolumebyClient[[#This Row],[Index Match Region ID]],GEONames[[GEOID]:[GEO NAME]],2,FALSE)</f>
        <v>NAM</v>
      </c>
      <c r="H58" s="1" t="str">
        <f>"Q"&amp;ROUNDUP(MONTH(VolumebyClient[[#This Row],[Date]])/3,0)&amp;" "&amp;YEAR(VolumebyClient[[#This Row],[Date]])</f>
        <v>Q4 2020</v>
      </c>
      <c r="I58" s="1" t="str">
        <f>VLOOKUP(VolumebyClient[[#This Row],[Date]],Quarters[],3,TRUE)</f>
        <v>Q4 2020</v>
      </c>
    </row>
    <row r="59" spans="1:9" x14ac:dyDescent="0.2">
      <c r="A59" s="2" t="s">
        <v>49</v>
      </c>
      <c r="B59" s="10">
        <v>44196</v>
      </c>
      <c r="C59" s="5">
        <v>1342</v>
      </c>
      <c r="D59" s="1">
        <f>LEN(VolumebyClient[[#This Row],[CLID]])</f>
        <v>7</v>
      </c>
      <c r="F59" s="1" t="str">
        <f>INDEX(GeobyClient[GEOID],MATCH(VolumebyClient[[#This Row],[CLID]],GeobyClient[Right],0))</f>
        <v>GEO1001</v>
      </c>
      <c r="G59" s="1" t="str">
        <f>VLOOKUP(VolumebyClient[[#This Row],[Index Match Region ID]],GEONames[[GEOID]:[GEO NAME]],2,FALSE)</f>
        <v>NAM</v>
      </c>
      <c r="H59" s="1" t="str">
        <f>"Q"&amp;ROUNDUP(MONTH(VolumebyClient[[#This Row],[Date]])/3,0)&amp;" "&amp;YEAR(VolumebyClient[[#This Row],[Date]])</f>
        <v>Q4 2020</v>
      </c>
      <c r="I59" s="1" t="str">
        <f>VLOOKUP(VolumebyClient[[#This Row],[Date]],Quarters[],3,TRUE)</f>
        <v>Q4 2020</v>
      </c>
    </row>
    <row r="60" spans="1:9" x14ac:dyDescent="0.2">
      <c r="A60" s="2" t="s">
        <v>49</v>
      </c>
      <c r="B60" s="10">
        <v>44377</v>
      </c>
      <c r="C60" s="5">
        <v>1325</v>
      </c>
      <c r="D60" s="1">
        <f>LEN(VolumebyClient[[#This Row],[CLID]])</f>
        <v>7</v>
      </c>
      <c r="F60" s="1" t="str">
        <f>INDEX(GeobyClient[GEOID],MATCH(VolumebyClient[[#This Row],[CLID]],GeobyClient[Right],0))</f>
        <v>GEO1001</v>
      </c>
      <c r="G60" s="1" t="str">
        <f>VLOOKUP(VolumebyClient[[#This Row],[Index Match Region ID]],GEONames[[GEOID]:[GEO NAME]],2,FALSE)</f>
        <v>NAM</v>
      </c>
      <c r="H60" s="1" t="str">
        <f>"Q"&amp;ROUNDUP(MONTH(VolumebyClient[[#This Row],[Date]])/3,0)&amp;" "&amp;YEAR(VolumebyClient[[#This Row],[Date]])</f>
        <v>Q2 2021</v>
      </c>
      <c r="I60" s="1" t="str">
        <f>VLOOKUP(VolumebyClient[[#This Row],[Date]],Quarters[],3,TRUE)</f>
        <v>Q2 2021</v>
      </c>
    </row>
    <row r="61" spans="1:9" x14ac:dyDescent="0.2">
      <c r="A61" s="2" t="s">
        <v>49</v>
      </c>
      <c r="B61" s="10">
        <v>44347</v>
      </c>
      <c r="C61" s="5">
        <v>2403</v>
      </c>
      <c r="D61" s="1">
        <f>LEN(VolumebyClient[[#This Row],[CLID]])</f>
        <v>7</v>
      </c>
      <c r="F61" s="1" t="str">
        <f>INDEX(GeobyClient[GEOID],MATCH(VolumebyClient[[#This Row],[CLID]],GeobyClient[Right],0))</f>
        <v>GEO1001</v>
      </c>
      <c r="G61" s="1" t="str">
        <f>VLOOKUP(VolumebyClient[[#This Row],[Index Match Region ID]],GEONames[[GEOID]:[GEO NAME]],2,FALSE)</f>
        <v>NAM</v>
      </c>
      <c r="H61" s="1" t="str">
        <f>"Q"&amp;ROUNDUP(MONTH(VolumebyClient[[#This Row],[Date]])/3,0)&amp;" "&amp;YEAR(VolumebyClient[[#This Row],[Date]])</f>
        <v>Q2 2021</v>
      </c>
      <c r="I61" s="1" t="str">
        <f>VLOOKUP(VolumebyClient[[#This Row],[Date]],Quarters[],3,TRUE)</f>
        <v>Q2 2021</v>
      </c>
    </row>
    <row r="62" spans="1:9" x14ac:dyDescent="0.2">
      <c r="A62" s="2" t="s">
        <v>49</v>
      </c>
      <c r="B62" s="10">
        <v>44316</v>
      </c>
      <c r="C62" s="5">
        <v>2089</v>
      </c>
      <c r="D62" s="1">
        <f>LEN(VolumebyClient[[#This Row],[CLID]])</f>
        <v>7</v>
      </c>
      <c r="F62" s="1" t="str">
        <f>INDEX(GeobyClient[GEOID],MATCH(VolumebyClient[[#This Row],[CLID]],GeobyClient[Right],0))</f>
        <v>GEO1001</v>
      </c>
      <c r="G62" s="1" t="str">
        <f>VLOOKUP(VolumebyClient[[#This Row],[Index Match Region ID]],GEONames[[GEOID]:[GEO NAME]],2,FALSE)</f>
        <v>NAM</v>
      </c>
      <c r="H62" s="1" t="str">
        <f>"Q"&amp;ROUNDUP(MONTH(VolumebyClient[[#This Row],[Date]])/3,0)&amp;" "&amp;YEAR(VolumebyClient[[#This Row],[Date]])</f>
        <v>Q2 2021</v>
      </c>
      <c r="I62" s="1" t="str">
        <f>VLOOKUP(VolumebyClient[[#This Row],[Date]],Quarters[],3,TRUE)</f>
        <v>Q2 2021</v>
      </c>
    </row>
    <row r="63" spans="1:9" x14ac:dyDescent="0.2">
      <c r="A63" s="2" t="s">
        <v>49</v>
      </c>
      <c r="B63" s="10">
        <v>44286</v>
      </c>
      <c r="C63" s="5">
        <v>2185</v>
      </c>
      <c r="D63" s="1">
        <f>LEN(VolumebyClient[[#This Row],[CLID]])</f>
        <v>7</v>
      </c>
      <c r="F63" s="1" t="str">
        <f>INDEX(GeobyClient[GEOID],MATCH(VolumebyClient[[#This Row],[CLID]],GeobyClient[Right],0))</f>
        <v>GEO1001</v>
      </c>
      <c r="G63" s="1" t="str">
        <f>VLOOKUP(VolumebyClient[[#This Row],[Index Match Region ID]],GEONames[[GEOID]:[GEO NAME]],2,FALSE)</f>
        <v>NAM</v>
      </c>
      <c r="H63" s="1" t="str">
        <f>"Q"&amp;ROUNDUP(MONTH(VolumebyClient[[#This Row],[Date]])/3,0)&amp;" "&amp;YEAR(VolumebyClient[[#This Row],[Date]])</f>
        <v>Q1 2021</v>
      </c>
      <c r="I63" s="1" t="str">
        <f>VLOOKUP(VolumebyClient[[#This Row],[Date]],Quarters[],3,TRUE)</f>
        <v>Q1 2021</v>
      </c>
    </row>
    <row r="64" spans="1:9" x14ac:dyDescent="0.2">
      <c r="A64" s="2" t="s">
        <v>49</v>
      </c>
      <c r="B64" s="10">
        <v>44255</v>
      </c>
      <c r="C64" s="5">
        <v>1542</v>
      </c>
      <c r="D64" s="1">
        <f>LEN(VolumebyClient[[#This Row],[CLID]])</f>
        <v>7</v>
      </c>
      <c r="F64" s="1" t="str">
        <f>INDEX(GeobyClient[GEOID],MATCH(VolumebyClient[[#This Row],[CLID]],GeobyClient[Right],0))</f>
        <v>GEO1001</v>
      </c>
      <c r="G64" s="1" t="str">
        <f>VLOOKUP(VolumebyClient[[#This Row],[Index Match Region ID]],GEONames[[GEOID]:[GEO NAME]],2,FALSE)</f>
        <v>NAM</v>
      </c>
      <c r="H64" s="1" t="str">
        <f>"Q"&amp;ROUNDUP(MONTH(VolumebyClient[[#This Row],[Date]])/3,0)&amp;" "&amp;YEAR(VolumebyClient[[#This Row],[Date]])</f>
        <v>Q1 2021</v>
      </c>
      <c r="I64" s="1" t="str">
        <f>VLOOKUP(VolumebyClient[[#This Row],[Date]],Quarters[],3,TRUE)</f>
        <v>Q1 2021</v>
      </c>
    </row>
    <row r="65" spans="1:9" x14ac:dyDescent="0.2">
      <c r="A65" s="2" t="s">
        <v>49</v>
      </c>
      <c r="B65" s="10">
        <v>44227</v>
      </c>
      <c r="C65" s="5">
        <v>1804</v>
      </c>
      <c r="D65" s="1">
        <f>LEN(VolumebyClient[[#This Row],[CLID]])</f>
        <v>7</v>
      </c>
      <c r="F65" s="1" t="str">
        <f>INDEX(GeobyClient[GEOID],MATCH(VolumebyClient[[#This Row],[CLID]],GeobyClient[Right],0))</f>
        <v>GEO1001</v>
      </c>
      <c r="G65" s="1" t="str">
        <f>VLOOKUP(VolumebyClient[[#This Row],[Index Match Region ID]],GEONames[[GEOID]:[GEO NAME]],2,FALSE)</f>
        <v>NAM</v>
      </c>
      <c r="H65" s="1" t="str">
        <f>"Q"&amp;ROUNDUP(MONTH(VolumebyClient[[#This Row],[Date]])/3,0)&amp;" "&amp;YEAR(VolumebyClient[[#This Row],[Date]])</f>
        <v>Q1 2021</v>
      </c>
      <c r="I65" s="1" t="str">
        <f>VLOOKUP(VolumebyClient[[#This Row],[Date]],Quarters[],3,TRUE)</f>
        <v>Q1 2021</v>
      </c>
    </row>
    <row r="66" spans="1:9" x14ac:dyDescent="0.2">
      <c r="A66" s="2" t="s">
        <v>35</v>
      </c>
      <c r="B66" s="10">
        <v>43861</v>
      </c>
      <c r="C66" s="5">
        <v>12887</v>
      </c>
      <c r="D66" s="1">
        <f>LEN(VolumebyClient[[#This Row],[CLID]])</f>
        <v>7</v>
      </c>
      <c r="F66" s="1" t="str">
        <f>INDEX(GeobyClient[GEOID],MATCH(VolumebyClient[[#This Row],[CLID]],GeobyClient[Right],0))</f>
        <v>GEO1001</v>
      </c>
      <c r="G66" s="1" t="str">
        <f>VLOOKUP(VolumebyClient[[#This Row],[Index Match Region ID]],GEONames[[GEOID]:[GEO NAME]],2,FALSE)</f>
        <v>NAM</v>
      </c>
      <c r="H66" s="1" t="str">
        <f>"Q"&amp;ROUNDUP(MONTH(VolumebyClient[[#This Row],[Date]])/3,0)&amp;" "&amp;YEAR(VolumebyClient[[#This Row],[Date]])</f>
        <v>Q1 2020</v>
      </c>
      <c r="I66" s="1" t="str">
        <f>VLOOKUP(VolumebyClient[[#This Row],[Date]],Quarters[],3,TRUE)</f>
        <v>Q1 2020</v>
      </c>
    </row>
    <row r="67" spans="1:9" x14ac:dyDescent="0.2">
      <c r="A67" s="2" t="s">
        <v>35</v>
      </c>
      <c r="B67" s="10">
        <v>43890</v>
      </c>
      <c r="C67" s="5">
        <v>18411</v>
      </c>
      <c r="D67" s="1">
        <f>LEN(VolumebyClient[[#This Row],[CLID]])</f>
        <v>7</v>
      </c>
      <c r="F67" s="1" t="str">
        <f>INDEX(GeobyClient[GEOID],MATCH(VolumebyClient[[#This Row],[CLID]],GeobyClient[Right],0))</f>
        <v>GEO1001</v>
      </c>
      <c r="G67" s="1" t="str">
        <f>VLOOKUP(VolumebyClient[[#This Row],[Index Match Region ID]],GEONames[[GEOID]:[GEO NAME]],2,FALSE)</f>
        <v>NAM</v>
      </c>
      <c r="H67" s="1" t="str">
        <f>"Q"&amp;ROUNDUP(MONTH(VolumebyClient[[#This Row],[Date]])/3,0)&amp;" "&amp;YEAR(VolumebyClient[[#This Row],[Date]])</f>
        <v>Q1 2020</v>
      </c>
      <c r="I67" s="1" t="str">
        <f>VLOOKUP(VolumebyClient[[#This Row],[Date]],Quarters[],3,TRUE)</f>
        <v>Q1 2020</v>
      </c>
    </row>
    <row r="68" spans="1:9" x14ac:dyDescent="0.2">
      <c r="A68" s="2" t="s">
        <v>35</v>
      </c>
      <c r="B68" s="10">
        <v>43921</v>
      </c>
      <c r="C68" s="5">
        <v>16571</v>
      </c>
      <c r="D68" s="1">
        <f>LEN(VolumebyClient[[#This Row],[CLID]])</f>
        <v>7</v>
      </c>
      <c r="F68" s="1" t="str">
        <f>INDEX(GeobyClient[GEOID],MATCH(VolumebyClient[[#This Row],[CLID]],GeobyClient[Right],0))</f>
        <v>GEO1001</v>
      </c>
      <c r="G68" s="1" t="str">
        <f>VLOOKUP(VolumebyClient[[#This Row],[Index Match Region ID]],GEONames[[GEOID]:[GEO NAME]],2,FALSE)</f>
        <v>NAM</v>
      </c>
      <c r="H68" s="1" t="str">
        <f>"Q"&amp;ROUNDUP(MONTH(VolumebyClient[[#This Row],[Date]])/3,0)&amp;" "&amp;YEAR(VolumebyClient[[#This Row],[Date]])</f>
        <v>Q1 2020</v>
      </c>
      <c r="I68" s="1" t="str">
        <f>VLOOKUP(VolumebyClient[[#This Row],[Date]],Quarters[],3,TRUE)</f>
        <v>Q1 2020</v>
      </c>
    </row>
    <row r="69" spans="1:9" x14ac:dyDescent="0.2">
      <c r="A69" s="2" t="s">
        <v>35</v>
      </c>
      <c r="B69" s="10">
        <v>43951</v>
      </c>
      <c r="C69" s="5">
        <v>23929</v>
      </c>
      <c r="D69" s="1">
        <f>LEN(VolumebyClient[[#This Row],[CLID]])</f>
        <v>7</v>
      </c>
      <c r="F69" s="1" t="str">
        <f>INDEX(GeobyClient[GEOID],MATCH(VolumebyClient[[#This Row],[CLID]],GeobyClient[Right],0))</f>
        <v>GEO1001</v>
      </c>
      <c r="G69" s="1" t="str">
        <f>VLOOKUP(VolumebyClient[[#This Row],[Index Match Region ID]],GEONames[[GEOID]:[GEO NAME]],2,FALSE)</f>
        <v>NAM</v>
      </c>
      <c r="H69" s="1" t="str">
        <f>"Q"&amp;ROUNDUP(MONTH(VolumebyClient[[#This Row],[Date]])/3,0)&amp;" "&amp;YEAR(VolumebyClient[[#This Row],[Date]])</f>
        <v>Q2 2020</v>
      </c>
      <c r="I69" s="1" t="str">
        <f>VLOOKUP(VolumebyClient[[#This Row],[Date]],Quarters[],3,TRUE)</f>
        <v>Q2 2020</v>
      </c>
    </row>
    <row r="70" spans="1:9" x14ac:dyDescent="0.2">
      <c r="A70" s="2" t="s">
        <v>35</v>
      </c>
      <c r="B70" s="10">
        <v>43982</v>
      </c>
      <c r="C70" s="5">
        <v>18409</v>
      </c>
      <c r="D70" s="1">
        <f>LEN(VolumebyClient[[#This Row],[CLID]])</f>
        <v>7</v>
      </c>
      <c r="F70" s="1" t="str">
        <f>INDEX(GeobyClient[GEOID],MATCH(VolumebyClient[[#This Row],[CLID]],GeobyClient[Right],0))</f>
        <v>GEO1001</v>
      </c>
      <c r="G70" s="1" t="str">
        <f>VLOOKUP(VolumebyClient[[#This Row],[Index Match Region ID]],GEONames[[GEOID]:[GEO NAME]],2,FALSE)</f>
        <v>NAM</v>
      </c>
      <c r="H70" s="1" t="str">
        <f>"Q"&amp;ROUNDUP(MONTH(VolumebyClient[[#This Row],[Date]])/3,0)&amp;" "&amp;YEAR(VolumebyClient[[#This Row],[Date]])</f>
        <v>Q2 2020</v>
      </c>
      <c r="I70" s="1" t="str">
        <f>VLOOKUP(VolumebyClient[[#This Row],[Date]],Quarters[],3,TRUE)</f>
        <v>Q2 2020</v>
      </c>
    </row>
    <row r="71" spans="1:9" x14ac:dyDescent="0.2">
      <c r="A71" s="2" t="s">
        <v>35</v>
      </c>
      <c r="B71" s="10">
        <v>44012</v>
      </c>
      <c r="C71" s="5">
        <v>16572</v>
      </c>
      <c r="D71" s="1">
        <f>LEN(VolumebyClient[[#This Row],[CLID]])</f>
        <v>7</v>
      </c>
      <c r="F71" s="1" t="str">
        <f>INDEX(GeobyClient[GEOID],MATCH(VolumebyClient[[#This Row],[CLID]],GeobyClient[Right],0))</f>
        <v>GEO1001</v>
      </c>
      <c r="G71" s="1" t="str">
        <f>VLOOKUP(VolumebyClient[[#This Row],[Index Match Region ID]],GEONames[[GEOID]:[GEO NAME]],2,FALSE)</f>
        <v>NAM</v>
      </c>
      <c r="H71" s="1" t="str">
        <f>"Q"&amp;ROUNDUP(MONTH(VolumebyClient[[#This Row],[Date]])/3,0)&amp;" "&amp;YEAR(VolumebyClient[[#This Row],[Date]])</f>
        <v>Q2 2020</v>
      </c>
      <c r="I71" s="1" t="str">
        <f>VLOOKUP(VolumebyClient[[#This Row],[Date]],Quarters[],3,TRUE)</f>
        <v>Q2 2020</v>
      </c>
    </row>
    <row r="72" spans="1:9" x14ac:dyDescent="0.2">
      <c r="A72" s="2" t="s">
        <v>35</v>
      </c>
      <c r="B72" s="10">
        <v>44043</v>
      </c>
      <c r="C72" s="5">
        <v>11044</v>
      </c>
      <c r="D72" s="1">
        <f>LEN(VolumebyClient[[#This Row],[CLID]])</f>
        <v>7</v>
      </c>
      <c r="F72" s="1" t="str">
        <f>INDEX(GeobyClient[GEOID],MATCH(VolumebyClient[[#This Row],[CLID]],GeobyClient[Right],0))</f>
        <v>GEO1001</v>
      </c>
      <c r="G72" s="1" t="str">
        <f>VLOOKUP(VolumebyClient[[#This Row],[Index Match Region ID]],GEONames[[GEOID]:[GEO NAME]],2,FALSE)</f>
        <v>NAM</v>
      </c>
      <c r="H72" s="1" t="str">
        <f>"Q"&amp;ROUNDUP(MONTH(VolumebyClient[[#This Row],[Date]])/3,0)&amp;" "&amp;YEAR(VolumebyClient[[#This Row],[Date]])</f>
        <v>Q3 2020</v>
      </c>
      <c r="I72" s="1" t="str">
        <f>VLOOKUP(VolumebyClient[[#This Row],[Date]],Quarters[],3,TRUE)</f>
        <v>Q3 2020</v>
      </c>
    </row>
    <row r="73" spans="1:9" x14ac:dyDescent="0.2">
      <c r="A73" s="2" t="s">
        <v>35</v>
      </c>
      <c r="B73" s="10">
        <v>44074</v>
      </c>
      <c r="C73" s="5">
        <v>12885</v>
      </c>
      <c r="D73" s="1">
        <f>LEN(VolumebyClient[[#This Row],[CLID]])</f>
        <v>7</v>
      </c>
      <c r="F73" s="1" t="str">
        <f>INDEX(GeobyClient[GEOID],MATCH(VolumebyClient[[#This Row],[CLID]],GeobyClient[Right],0))</f>
        <v>GEO1001</v>
      </c>
      <c r="G73" s="1" t="str">
        <f>VLOOKUP(VolumebyClient[[#This Row],[Index Match Region ID]],GEONames[[GEOID]:[GEO NAME]],2,FALSE)</f>
        <v>NAM</v>
      </c>
      <c r="H73" s="1" t="str">
        <f>"Q"&amp;ROUNDUP(MONTH(VolumebyClient[[#This Row],[Date]])/3,0)&amp;" "&amp;YEAR(VolumebyClient[[#This Row],[Date]])</f>
        <v>Q3 2020</v>
      </c>
      <c r="I73" s="1" t="str">
        <f>VLOOKUP(VolumebyClient[[#This Row],[Date]],Quarters[],3,TRUE)</f>
        <v>Q3 2020</v>
      </c>
    </row>
    <row r="74" spans="1:9" x14ac:dyDescent="0.2">
      <c r="A74" s="2" t="s">
        <v>35</v>
      </c>
      <c r="B74" s="10">
        <v>44104</v>
      </c>
      <c r="C74" s="5">
        <v>9208</v>
      </c>
      <c r="D74" s="1">
        <f>LEN(VolumebyClient[[#This Row],[CLID]])</f>
        <v>7</v>
      </c>
      <c r="F74" s="1" t="str">
        <f>INDEX(GeobyClient[GEOID],MATCH(VolumebyClient[[#This Row],[CLID]],GeobyClient[Right],0))</f>
        <v>GEO1001</v>
      </c>
      <c r="G74" s="1" t="str">
        <f>VLOOKUP(VolumebyClient[[#This Row],[Index Match Region ID]],GEONames[[GEOID]:[GEO NAME]],2,FALSE)</f>
        <v>NAM</v>
      </c>
      <c r="H74" s="1" t="str">
        <f>"Q"&amp;ROUNDUP(MONTH(VolumebyClient[[#This Row],[Date]])/3,0)&amp;" "&amp;YEAR(VolumebyClient[[#This Row],[Date]])</f>
        <v>Q3 2020</v>
      </c>
      <c r="I74" s="1" t="str">
        <f>VLOOKUP(VolumebyClient[[#This Row],[Date]],Quarters[],3,TRUE)</f>
        <v>Q3 2020</v>
      </c>
    </row>
    <row r="75" spans="1:9" x14ac:dyDescent="0.2">
      <c r="A75" s="2" t="s">
        <v>35</v>
      </c>
      <c r="B75" s="10">
        <v>44135</v>
      </c>
      <c r="C75" s="5">
        <v>14725</v>
      </c>
      <c r="D75" s="1">
        <f>LEN(VolumebyClient[[#This Row],[CLID]])</f>
        <v>7</v>
      </c>
      <c r="F75" s="1" t="str">
        <f>INDEX(GeobyClient[GEOID],MATCH(VolumebyClient[[#This Row],[CLID]],GeobyClient[Right],0))</f>
        <v>GEO1001</v>
      </c>
      <c r="G75" s="1" t="str">
        <f>VLOOKUP(VolumebyClient[[#This Row],[Index Match Region ID]],GEONames[[GEOID]:[GEO NAME]],2,FALSE)</f>
        <v>NAM</v>
      </c>
      <c r="H75" s="1" t="str">
        <f>"Q"&amp;ROUNDUP(MONTH(VolumebyClient[[#This Row],[Date]])/3,0)&amp;" "&amp;YEAR(VolumebyClient[[#This Row],[Date]])</f>
        <v>Q4 2020</v>
      </c>
      <c r="I75" s="1" t="str">
        <f>VLOOKUP(VolumebyClient[[#This Row],[Date]],Quarters[],3,TRUE)</f>
        <v>Q4 2020</v>
      </c>
    </row>
    <row r="76" spans="1:9" x14ac:dyDescent="0.2">
      <c r="A76" s="2" t="s">
        <v>35</v>
      </c>
      <c r="B76" s="10">
        <v>44165</v>
      </c>
      <c r="C76" s="5">
        <v>12888</v>
      </c>
      <c r="D76" s="1">
        <f>LEN(VolumebyClient[[#This Row],[CLID]])</f>
        <v>7</v>
      </c>
      <c r="F76" s="1" t="str">
        <f>INDEX(GeobyClient[GEOID],MATCH(VolumebyClient[[#This Row],[CLID]],GeobyClient[Right],0))</f>
        <v>GEO1001</v>
      </c>
      <c r="G76" s="1" t="str">
        <f>VLOOKUP(VolumebyClient[[#This Row],[Index Match Region ID]],GEONames[[GEOID]:[GEO NAME]],2,FALSE)</f>
        <v>NAM</v>
      </c>
      <c r="H76" s="1" t="str">
        <f>"Q"&amp;ROUNDUP(MONTH(VolumebyClient[[#This Row],[Date]])/3,0)&amp;" "&amp;YEAR(VolumebyClient[[#This Row],[Date]])</f>
        <v>Q4 2020</v>
      </c>
      <c r="I76" s="1" t="str">
        <f>VLOOKUP(VolumebyClient[[#This Row],[Date]],Quarters[],3,TRUE)</f>
        <v>Q4 2020</v>
      </c>
    </row>
    <row r="77" spans="1:9" x14ac:dyDescent="0.2">
      <c r="A77" s="2" t="s">
        <v>35</v>
      </c>
      <c r="B77" s="10">
        <v>44196</v>
      </c>
      <c r="C77" s="5">
        <v>16571</v>
      </c>
      <c r="D77" s="1">
        <f>LEN(VolumebyClient[[#This Row],[CLID]])</f>
        <v>7</v>
      </c>
      <c r="F77" s="1" t="str">
        <f>INDEX(GeobyClient[GEOID],MATCH(VolumebyClient[[#This Row],[CLID]],GeobyClient[Right],0))</f>
        <v>GEO1001</v>
      </c>
      <c r="G77" s="1" t="str">
        <f>VLOOKUP(VolumebyClient[[#This Row],[Index Match Region ID]],GEONames[[GEOID]:[GEO NAME]],2,FALSE)</f>
        <v>NAM</v>
      </c>
      <c r="H77" s="1" t="str">
        <f>"Q"&amp;ROUNDUP(MONTH(VolumebyClient[[#This Row],[Date]])/3,0)&amp;" "&amp;YEAR(VolumebyClient[[#This Row],[Date]])</f>
        <v>Q4 2020</v>
      </c>
      <c r="I77" s="1" t="str">
        <f>VLOOKUP(VolumebyClient[[#This Row],[Date]],Quarters[],3,TRUE)</f>
        <v>Q4 2020</v>
      </c>
    </row>
    <row r="78" spans="1:9" x14ac:dyDescent="0.2">
      <c r="A78" s="2" t="s">
        <v>35</v>
      </c>
      <c r="B78" s="10">
        <v>44377</v>
      </c>
      <c r="C78" s="5">
        <v>17235</v>
      </c>
      <c r="D78" s="1">
        <f>LEN(VolumebyClient[[#This Row],[CLID]])</f>
        <v>7</v>
      </c>
      <c r="F78" s="1" t="str">
        <f>INDEX(GeobyClient[GEOID],MATCH(VolumebyClient[[#This Row],[CLID]],GeobyClient[Right],0))</f>
        <v>GEO1001</v>
      </c>
      <c r="G78" s="1" t="str">
        <f>VLOOKUP(VolumebyClient[[#This Row],[Index Match Region ID]],GEONames[[GEOID]:[GEO NAME]],2,FALSE)</f>
        <v>NAM</v>
      </c>
      <c r="H78" s="1" t="str">
        <f>"Q"&amp;ROUNDUP(MONTH(VolumebyClient[[#This Row],[Date]])/3,0)&amp;" "&amp;YEAR(VolumebyClient[[#This Row],[Date]])</f>
        <v>Q2 2021</v>
      </c>
      <c r="I78" s="1" t="str">
        <f>VLOOKUP(VolumebyClient[[#This Row],[Date]],Quarters[],3,TRUE)</f>
        <v>Q2 2021</v>
      </c>
    </row>
    <row r="79" spans="1:9" x14ac:dyDescent="0.2">
      <c r="A79" s="2" t="s">
        <v>35</v>
      </c>
      <c r="B79" s="10">
        <v>44347</v>
      </c>
      <c r="C79" s="5">
        <v>19146</v>
      </c>
      <c r="D79" s="1">
        <f>LEN(VolumebyClient[[#This Row],[CLID]])</f>
        <v>7</v>
      </c>
      <c r="F79" s="1" t="str">
        <f>INDEX(GeobyClient[GEOID],MATCH(VolumebyClient[[#This Row],[CLID]],GeobyClient[Right],0))</f>
        <v>GEO1001</v>
      </c>
      <c r="G79" s="1" t="str">
        <f>VLOOKUP(VolumebyClient[[#This Row],[Index Match Region ID]],GEONames[[GEOID]:[GEO NAME]],2,FALSE)</f>
        <v>NAM</v>
      </c>
      <c r="H79" s="1" t="str">
        <f>"Q"&amp;ROUNDUP(MONTH(VolumebyClient[[#This Row],[Date]])/3,0)&amp;" "&amp;YEAR(VolumebyClient[[#This Row],[Date]])</f>
        <v>Q2 2021</v>
      </c>
      <c r="I79" s="1" t="str">
        <f>VLOOKUP(VolumebyClient[[#This Row],[Date]],Quarters[],3,TRUE)</f>
        <v>Q2 2021</v>
      </c>
    </row>
    <row r="80" spans="1:9" x14ac:dyDescent="0.2">
      <c r="A80" s="2" t="s">
        <v>35</v>
      </c>
      <c r="B80" s="10">
        <v>44316</v>
      </c>
      <c r="C80" s="5">
        <v>23690</v>
      </c>
      <c r="D80" s="1">
        <f>LEN(VolumebyClient[[#This Row],[CLID]])</f>
        <v>7</v>
      </c>
      <c r="F80" s="1" t="str">
        <f>INDEX(GeobyClient[GEOID],MATCH(VolumebyClient[[#This Row],[CLID]],GeobyClient[Right],0))</f>
        <v>GEO1001</v>
      </c>
      <c r="G80" s="1" t="str">
        <f>VLOOKUP(VolumebyClient[[#This Row],[Index Match Region ID]],GEONames[[GEOID]:[GEO NAME]],2,FALSE)</f>
        <v>NAM</v>
      </c>
      <c r="H80" s="1" t="str">
        <f>"Q"&amp;ROUNDUP(MONTH(VolumebyClient[[#This Row],[Date]])/3,0)&amp;" "&amp;YEAR(VolumebyClient[[#This Row],[Date]])</f>
        <v>Q2 2021</v>
      </c>
      <c r="I80" s="1" t="str">
        <f>VLOOKUP(VolumebyClient[[#This Row],[Date]],Quarters[],3,TRUE)</f>
        <v>Q2 2021</v>
      </c>
    </row>
    <row r="81" spans="1:9" x14ac:dyDescent="0.2">
      <c r="A81" s="2" t="s">
        <v>35</v>
      </c>
      <c r="B81" s="10">
        <v>44286</v>
      </c>
      <c r="C81" s="5">
        <v>17229</v>
      </c>
      <c r="D81" s="1">
        <f>LEN(VolumebyClient[[#This Row],[CLID]])</f>
        <v>7</v>
      </c>
      <c r="F81" s="1" t="str">
        <f>INDEX(GeobyClient[GEOID],MATCH(VolumebyClient[[#This Row],[CLID]],GeobyClient[Right],0))</f>
        <v>GEO1001</v>
      </c>
      <c r="G81" s="1" t="str">
        <f>VLOOKUP(VolumebyClient[[#This Row],[Index Match Region ID]],GEONames[[GEOID]:[GEO NAME]],2,FALSE)</f>
        <v>NAM</v>
      </c>
      <c r="H81" s="1" t="str">
        <f>"Q"&amp;ROUNDUP(MONTH(VolumebyClient[[#This Row],[Date]])/3,0)&amp;" "&amp;YEAR(VolumebyClient[[#This Row],[Date]])</f>
        <v>Q1 2021</v>
      </c>
      <c r="I81" s="1" t="str">
        <f>VLOOKUP(VolumebyClient[[#This Row],[Date]],Quarters[],3,TRUE)</f>
        <v>Q1 2021</v>
      </c>
    </row>
    <row r="82" spans="1:9" x14ac:dyDescent="0.2">
      <c r="A82" s="2" t="s">
        <v>35</v>
      </c>
      <c r="B82" s="10">
        <v>44255</v>
      </c>
      <c r="C82" s="5">
        <v>19330</v>
      </c>
      <c r="D82" s="1">
        <f>LEN(VolumebyClient[[#This Row],[CLID]])</f>
        <v>7</v>
      </c>
      <c r="F82" s="1" t="str">
        <f>INDEX(GeobyClient[GEOID],MATCH(VolumebyClient[[#This Row],[CLID]],GeobyClient[Right],0))</f>
        <v>GEO1001</v>
      </c>
      <c r="G82" s="1" t="str">
        <f>VLOOKUP(VolumebyClient[[#This Row],[Index Match Region ID]],GEONames[[GEOID]:[GEO NAME]],2,FALSE)</f>
        <v>NAM</v>
      </c>
      <c r="H82" s="1" t="str">
        <f>"Q"&amp;ROUNDUP(MONTH(VolumebyClient[[#This Row],[Date]])/3,0)&amp;" "&amp;YEAR(VolumebyClient[[#This Row],[Date]])</f>
        <v>Q1 2021</v>
      </c>
      <c r="I82" s="1" t="str">
        <f>VLOOKUP(VolumebyClient[[#This Row],[Date]],Quarters[],3,TRUE)</f>
        <v>Q1 2021</v>
      </c>
    </row>
    <row r="83" spans="1:9" x14ac:dyDescent="0.2">
      <c r="A83" s="2" t="s">
        <v>35</v>
      </c>
      <c r="B83" s="10">
        <v>44227</v>
      </c>
      <c r="C83" s="5">
        <v>12826</v>
      </c>
      <c r="D83" s="1">
        <f>LEN(VolumebyClient[[#This Row],[CLID]])</f>
        <v>7</v>
      </c>
      <c r="F83" s="1" t="str">
        <f>INDEX(GeobyClient[GEOID],MATCH(VolumebyClient[[#This Row],[CLID]],GeobyClient[Right],0))</f>
        <v>GEO1001</v>
      </c>
      <c r="G83" s="1" t="str">
        <f>VLOOKUP(VolumebyClient[[#This Row],[Index Match Region ID]],GEONames[[GEOID]:[GEO NAME]],2,FALSE)</f>
        <v>NAM</v>
      </c>
      <c r="H83" s="1" t="str">
        <f>"Q"&amp;ROUNDUP(MONTH(VolumebyClient[[#This Row],[Date]])/3,0)&amp;" "&amp;YEAR(VolumebyClient[[#This Row],[Date]])</f>
        <v>Q1 2021</v>
      </c>
      <c r="I83" s="1" t="str">
        <f>VLOOKUP(VolumebyClient[[#This Row],[Date]],Quarters[],3,TRUE)</f>
        <v>Q1 2021</v>
      </c>
    </row>
    <row r="84" spans="1:9" x14ac:dyDescent="0.2">
      <c r="A84" s="2" t="s">
        <v>44</v>
      </c>
      <c r="B84" s="10">
        <v>44104</v>
      </c>
      <c r="C84" s="5">
        <v>1249</v>
      </c>
      <c r="D84" s="1">
        <f>LEN(VolumebyClient[[#This Row],[CLID]])</f>
        <v>7</v>
      </c>
      <c r="F84" s="1" t="str">
        <f>INDEX(GeobyClient[GEOID],MATCH(VolumebyClient[[#This Row],[CLID]],GeobyClient[Right],0))</f>
        <v>GEO1004</v>
      </c>
      <c r="G84" s="1" t="str">
        <f>VLOOKUP(VolumebyClient[[#This Row],[Index Match Region ID]],GEONames[[GEOID]:[GEO NAME]],2,FALSE)</f>
        <v>LATAM</v>
      </c>
      <c r="H84" s="1" t="str">
        <f>"Q"&amp;ROUNDUP(MONTH(VolumebyClient[[#This Row],[Date]])/3,0)&amp;" "&amp;YEAR(VolumebyClient[[#This Row],[Date]])</f>
        <v>Q3 2020</v>
      </c>
      <c r="I84" s="1" t="str">
        <f>VLOOKUP(VolumebyClient[[#This Row],[Date]],Quarters[],3,TRUE)</f>
        <v>Q3 2020</v>
      </c>
    </row>
    <row r="85" spans="1:9" x14ac:dyDescent="0.2">
      <c r="A85" s="2" t="s">
        <v>44</v>
      </c>
      <c r="B85" s="10">
        <v>44135</v>
      </c>
      <c r="C85" s="5">
        <v>913</v>
      </c>
      <c r="D85" s="1">
        <f>LEN(VolumebyClient[[#This Row],[CLID]])</f>
        <v>7</v>
      </c>
      <c r="F85" s="1" t="str">
        <f>INDEX(GeobyClient[GEOID],MATCH(VolumebyClient[[#This Row],[CLID]],GeobyClient[Right],0))</f>
        <v>GEO1004</v>
      </c>
      <c r="G85" s="1" t="str">
        <f>VLOOKUP(VolumebyClient[[#This Row],[Index Match Region ID]],GEONames[[GEOID]:[GEO NAME]],2,FALSE)</f>
        <v>LATAM</v>
      </c>
      <c r="H85" s="1" t="str">
        <f>"Q"&amp;ROUNDUP(MONTH(VolumebyClient[[#This Row],[Date]])/3,0)&amp;" "&amp;YEAR(VolumebyClient[[#This Row],[Date]])</f>
        <v>Q4 2020</v>
      </c>
      <c r="I85" s="1" t="str">
        <f>VLOOKUP(VolumebyClient[[#This Row],[Date]],Quarters[],3,TRUE)</f>
        <v>Q4 2020</v>
      </c>
    </row>
    <row r="86" spans="1:9" x14ac:dyDescent="0.2">
      <c r="A86" s="2" t="s">
        <v>44</v>
      </c>
      <c r="B86" s="10">
        <v>44165</v>
      </c>
      <c r="C86" s="5">
        <v>1574</v>
      </c>
      <c r="D86" s="1">
        <f>LEN(VolumebyClient[[#This Row],[CLID]])</f>
        <v>7</v>
      </c>
      <c r="F86" s="1" t="str">
        <f>INDEX(GeobyClient[GEOID],MATCH(VolumebyClient[[#This Row],[CLID]],GeobyClient[Right],0))</f>
        <v>GEO1004</v>
      </c>
      <c r="G86" s="1" t="str">
        <f>VLOOKUP(VolumebyClient[[#This Row],[Index Match Region ID]],GEONames[[GEOID]:[GEO NAME]],2,FALSE)</f>
        <v>LATAM</v>
      </c>
      <c r="H86" s="1" t="str">
        <f>"Q"&amp;ROUNDUP(MONTH(VolumebyClient[[#This Row],[Date]])/3,0)&amp;" "&amp;YEAR(VolumebyClient[[#This Row],[Date]])</f>
        <v>Q4 2020</v>
      </c>
      <c r="I86" s="1" t="str">
        <f>VLOOKUP(VolumebyClient[[#This Row],[Date]],Quarters[],3,TRUE)</f>
        <v>Q4 2020</v>
      </c>
    </row>
    <row r="87" spans="1:9" x14ac:dyDescent="0.2">
      <c r="A87" s="2" t="s">
        <v>44</v>
      </c>
      <c r="B87" s="10">
        <v>44196</v>
      </c>
      <c r="C87" s="5">
        <v>1082</v>
      </c>
      <c r="D87" s="1">
        <f>LEN(VolumebyClient[[#This Row],[CLID]])</f>
        <v>7</v>
      </c>
      <c r="F87" s="1" t="str">
        <f>INDEX(GeobyClient[GEOID],MATCH(VolumebyClient[[#This Row],[CLID]],GeobyClient[Right],0))</f>
        <v>GEO1004</v>
      </c>
      <c r="G87" s="1" t="str">
        <f>VLOOKUP(VolumebyClient[[#This Row],[Index Match Region ID]],GEONames[[GEOID]:[GEO NAME]],2,FALSE)</f>
        <v>LATAM</v>
      </c>
      <c r="H87" s="1" t="str">
        <f>"Q"&amp;ROUNDUP(MONTH(VolumebyClient[[#This Row],[Date]])/3,0)&amp;" "&amp;YEAR(VolumebyClient[[#This Row],[Date]])</f>
        <v>Q4 2020</v>
      </c>
      <c r="I87" s="1" t="str">
        <f>VLOOKUP(VolumebyClient[[#This Row],[Date]],Quarters[],3,TRUE)</f>
        <v>Q4 2020</v>
      </c>
    </row>
    <row r="88" spans="1:9" x14ac:dyDescent="0.2">
      <c r="A88" s="2" t="s">
        <v>44</v>
      </c>
      <c r="B88" s="10">
        <v>44286</v>
      </c>
      <c r="C88" s="5">
        <v>1945</v>
      </c>
      <c r="D88" s="1">
        <f>LEN(VolumebyClient[[#This Row],[CLID]])</f>
        <v>7</v>
      </c>
      <c r="F88" s="1" t="str">
        <f>INDEX(GeobyClient[GEOID],MATCH(VolumebyClient[[#This Row],[CLID]],GeobyClient[Right],0))</f>
        <v>GEO1004</v>
      </c>
      <c r="G88" s="1" t="str">
        <f>VLOOKUP(VolumebyClient[[#This Row],[Index Match Region ID]],GEONames[[GEOID]:[GEO NAME]],2,FALSE)</f>
        <v>LATAM</v>
      </c>
      <c r="H88" s="1" t="str">
        <f>"Q"&amp;ROUNDUP(MONTH(VolumebyClient[[#This Row],[Date]])/3,0)&amp;" "&amp;YEAR(VolumebyClient[[#This Row],[Date]])</f>
        <v>Q1 2021</v>
      </c>
      <c r="I88" s="1" t="str">
        <f>VLOOKUP(VolumebyClient[[#This Row],[Date]],Quarters[],3,TRUE)</f>
        <v>Q1 2021</v>
      </c>
    </row>
    <row r="89" spans="1:9" x14ac:dyDescent="0.2">
      <c r="A89" s="2" t="s">
        <v>44</v>
      </c>
      <c r="B89" s="10">
        <v>44255</v>
      </c>
      <c r="C89" s="5">
        <v>1296</v>
      </c>
      <c r="D89" s="1">
        <f>LEN(VolumebyClient[[#This Row],[CLID]])</f>
        <v>7</v>
      </c>
      <c r="F89" s="1" t="str">
        <f>INDEX(GeobyClient[GEOID],MATCH(VolumebyClient[[#This Row],[CLID]],GeobyClient[Right],0))</f>
        <v>GEO1004</v>
      </c>
      <c r="G89" s="1" t="str">
        <f>VLOOKUP(VolumebyClient[[#This Row],[Index Match Region ID]],GEONames[[GEOID]:[GEO NAME]],2,FALSE)</f>
        <v>LATAM</v>
      </c>
      <c r="H89" s="1" t="str">
        <f>"Q"&amp;ROUNDUP(MONTH(VolumebyClient[[#This Row],[Date]])/3,0)&amp;" "&amp;YEAR(VolumebyClient[[#This Row],[Date]])</f>
        <v>Q1 2021</v>
      </c>
      <c r="I89" s="1" t="str">
        <f>VLOOKUP(VolumebyClient[[#This Row],[Date]],Quarters[],3,TRUE)</f>
        <v>Q1 2021</v>
      </c>
    </row>
    <row r="90" spans="1:9" x14ac:dyDescent="0.2">
      <c r="A90" s="2" t="s">
        <v>44</v>
      </c>
      <c r="B90" s="10">
        <v>44227</v>
      </c>
      <c r="C90" s="5">
        <v>1568</v>
      </c>
      <c r="D90" s="1">
        <f>LEN(VolumebyClient[[#This Row],[CLID]])</f>
        <v>7</v>
      </c>
      <c r="F90" s="1" t="str">
        <f>INDEX(GeobyClient[GEOID],MATCH(VolumebyClient[[#This Row],[CLID]],GeobyClient[Right],0))</f>
        <v>GEO1004</v>
      </c>
      <c r="G90" s="1" t="str">
        <f>VLOOKUP(VolumebyClient[[#This Row],[Index Match Region ID]],GEONames[[GEOID]:[GEO NAME]],2,FALSE)</f>
        <v>LATAM</v>
      </c>
      <c r="H90" s="1" t="str">
        <f>"Q"&amp;ROUNDUP(MONTH(VolumebyClient[[#This Row],[Date]])/3,0)&amp;" "&amp;YEAR(VolumebyClient[[#This Row],[Date]])</f>
        <v>Q1 2021</v>
      </c>
      <c r="I90" s="1" t="str">
        <f>VLOOKUP(VolumebyClient[[#This Row],[Date]],Quarters[],3,TRUE)</f>
        <v>Q1 2021</v>
      </c>
    </row>
    <row r="91" spans="1:9" x14ac:dyDescent="0.2">
      <c r="A91" s="2" t="s">
        <v>28</v>
      </c>
      <c r="B91" s="10">
        <v>43861</v>
      </c>
      <c r="C91" s="5">
        <v>756</v>
      </c>
      <c r="D91" s="1">
        <f>LEN(VolumebyClient[[#This Row],[CLID]])</f>
        <v>7</v>
      </c>
      <c r="F91" s="1" t="str">
        <f>INDEX(GeobyClient[GEOID],MATCH(VolumebyClient[[#This Row],[CLID]],GeobyClient[Right],0))</f>
        <v>GEO1004</v>
      </c>
      <c r="G91" s="1" t="str">
        <f>VLOOKUP(VolumebyClient[[#This Row],[Index Match Region ID]],GEONames[[GEOID]:[GEO NAME]],2,FALSE)</f>
        <v>LATAM</v>
      </c>
      <c r="H91" s="1" t="str">
        <f>"Q"&amp;ROUNDUP(MONTH(VolumebyClient[[#This Row],[Date]])/3,0)&amp;" "&amp;YEAR(VolumebyClient[[#This Row],[Date]])</f>
        <v>Q1 2020</v>
      </c>
      <c r="I91" s="1" t="str">
        <f>VLOOKUP(VolumebyClient[[#This Row],[Date]],Quarters[],3,TRUE)</f>
        <v>Q1 2020</v>
      </c>
    </row>
    <row r="92" spans="1:9" x14ac:dyDescent="0.2">
      <c r="A92" s="2" t="s">
        <v>28</v>
      </c>
      <c r="B92" s="10">
        <v>43890</v>
      </c>
      <c r="C92" s="5">
        <v>954</v>
      </c>
      <c r="D92" s="1">
        <f>LEN(VolumebyClient[[#This Row],[CLID]])</f>
        <v>7</v>
      </c>
      <c r="F92" s="1" t="str">
        <f>INDEX(GeobyClient[GEOID],MATCH(VolumebyClient[[#This Row],[CLID]],GeobyClient[Right],0))</f>
        <v>GEO1004</v>
      </c>
      <c r="G92" s="1" t="str">
        <f>VLOOKUP(VolumebyClient[[#This Row],[Index Match Region ID]],GEONames[[GEOID]:[GEO NAME]],2,FALSE)</f>
        <v>LATAM</v>
      </c>
      <c r="H92" s="1" t="str">
        <f>"Q"&amp;ROUNDUP(MONTH(VolumebyClient[[#This Row],[Date]])/3,0)&amp;" "&amp;YEAR(VolumebyClient[[#This Row],[Date]])</f>
        <v>Q1 2020</v>
      </c>
      <c r="I92" s="1" t="str">
        <f>VLOOKUP(VolumebyClient[[#This Row],[Date]],Quarters[],3,TRUE)</f>
        <v>Q1 2020</v>
      </c>
    </row>
    <row r="93" spans="1:9" x14ac:dyDescent="0.2">
      <c r="A93" s="2" t="s">
        <v>28</v>
      </c>
      <c r="B93" s="10">
        <v>43921</v>
      </c>
      <c r="C93" s="5">
        <v>955</v>
      </c>
      <c r="D93" s="1">
        <f>LEN(VolumebyClient[[#This Row],[CLID]])</f>
        <v>7</v>
      </c>
      <c r="F93" s="1" t="str">
        <f>INDEX(GeobyClient[GEOID],MATCH(VolumebyClient[[#This Row],[CLID]],GeobyClient[Right],0))</f>
        <v>GEO1004</v>
      </c>
      <c r="G93" s="1" t="str">
        <f>VLOOKUP(VolumebyClient[[#This Row],[Index Match Region ID]],GEONames[[GEOID]:[GEO NAME]],2,FALSE)</f>
        <v>LATAM</v>
      </c>
      <c r="H93" s="1" t="str">
        <f>"Q"&amp;ROUNDUP(MONTH(VolumebyClient[[#This Row],[Date]])/3,0)&amp;" "&amp;YEAR(VolumebyClient[[#This Row],[Date]])</f>
        <v>Q1 2020</v>
      </c>
      <c r="I93" s="1" t="str">
        <f>VLOOKUP(VolumebyClient[[#This Row],[Date]],Quarters[],3,TRUE)</f>
        <v>Q1 2020</v>
      </c>
    </row>
    <row r="94" spans="1:9" x14ac:dyDescent="0.2">
      <c r="A94" s="2" t="s">
        <v>28</v>
      </c>
      <c r="B94" s="10">
        <v>43951</v>
      </c>
      <c r="C94" s="5">
        <v>1261</v>
      </c>
      <c r="D94" s="1">
        <f>LEN(VolumebyClient[[#This Row],[CLID]])</f>
        <v>7</v>
      </c>
      <c r="F94" s="1" t="str">
        <f>INDEX(GeobyClient[GEOID],MATCH(VolumebyClient[[#This Row],[CLID]],GeobyClient[Right],0))</f>
        <v>GEO1004</v>
      </c>
      <c r="G94" s="1" t="str">
        <f>VLOOKUP(VolumebyClient[[#This Row],[Index Match Region ID]],GEONames[[GEOID]:[GEO NAME]],2,FALSE)</f>
        <v>LATAM</v>
      </c>
      <c r="H94" s="1" t="str">
        <f>"Q"&amp;ROUNDUP(MONTH(VolumebyClient[[#This Row],[Date]])/3,0)&amp;" "&amp;YEAR(VolumebyClient[[#This Row],[Date]])</f>
        <v>Q2 2020</v>
      </c>
      <c r="I94" s="1" t="str">
        <f>VLOOKUP(VolumebyClient[[#This Row],[Date]],Quarters[],3,TRUE)</f>
        <v>Q2 2020</v>
      </c>
    </row>
    <row r="95" spans="1:9" x14ac:dyDescent="0.2">
      <c r="A95" s="2" t="s">
        <v>28</v>
      </c>
      <c r="B95" s="10">
        <v>43982</v>
      </c>
      <c r="C95" s="5">
        <v>1058</v>
      </c>
      <c r="D95" s="1">
        <f>LEN(VolumebyClient[[#This Row],[CLID]])</f>
        <v>7</v>
      </c>
      <c r="F95" s="1" t="str">
        <f>INDEX(GeobyClient[GEOID],MATCH(VolumebyClient[[#This Row],[CLID]],GeobyClient[Right],0))</f>
        <v>GEO1004</v>
      </c>
      <c r="G95" s="1" t="str">
        <f>VLOOKUP(VolumebyClient[[#This Row],[Index Match Region ID]],GEONames[[GEOID]:[GEO NAME]],2,FALSE)</f>
        <v>LATAM</v>
      </c>
      <c r="H95" s="1" t="str">
        <f>"Q"&amp;ROUNDUP(MONTH(VolumebyClient[[#This Row],[Date]])/3,0)&amp;" "&amp;YEAR(VolumebyClient[[#This Row],[Date]])</f>
        <v>Q2 2020</v>
      </c>
      <c r="I95" s="1" t="str">
        <f>VLOOKUP(VolumebyClient[[#This Row],[Date]],Quarters[],3,TRUE)</f>
        <v>Q2 2020</v>
      </c>
    </row>
    <row r="96" spans="1:9" x14ac:dyDescent="0.2">
      <c r="A96" s="2" t="s">
        <v>28</v>
      </c>
      <c r="B96" s="10">
        <v>44012</v>
      </c>
      <c r="C96" s="5">
        <v>855</v>
      </c>
      <c r="D96" s="1">
        <f>LEN(VolumebyClient[[#This Row],[CLID]])</f>
        <v>7</v>
      </c>
      <c r="F96" s="1" t="str">
        <f>INDEX(GeobyClient[GEOID],MATCH(VolumebyClient[[#This Row],[CLID]],GeobyClient[Right],0))</f>
        <v>GEO1004</v>
      </c>
      <c r="G96" s="1" t="str">
        <f>VLOOKUP(VolumebyClient[[#This Row],[Index Match Region ID]],GEONames[[GEOID]:[GEO NAME]],2,FALSE)</f>
        <v>LATAM</v>
      </c>
      <c r="H96" s="1" t="str">
        <f>"Q"&amp;ROUNDUP(MONTH(VolumebyClient[[#This Row],[Date]])/3,0)&amp;" "&amp;YEAR(VolumebyClient[[#This Row],[Date]])</f>
        <v>Q2 2020</v>
      </c>
      <c r="I96" s="1" t="str">
        <f>VLOOKUP(VolumebyClient[[#This Row],[Date]],Quarters[],3,TRUE)</f>
        <v>Q2 2020</v>
      </c>
    </row>
    <row r="97" spans="1:9" x14ac:dyDescent="0.2">
      <c r="A97" s="2" t="s">
        <v>28</v>
      </c>
      <c r="B97" s="10">
        <v>44043</v>
      </c>
      <c r="C97" s="5">
        <v>654</v>
      </c>
      <c r="D97" s="1">
        <f>LEN(VolumebyClient[[#This Row],[CLID]])</f>
        <v>7</v>
      </c>
      <c r="F97" s="1" t="str">
        <f>INDEX(GeobyClient[GEOID],MATCH(VolumebyClient[[#This Row],[CLID]],GeobyClient[Right],0))</f>
        <v>GEO1004</v>
      </c>
      <c r="G97" s="1" t="str">
        <f>VLOOKUP(VolumebyClient[[#This Row],[Index Match Region ID]],GEONames[[GEOID]:[GEO NAME]],2,FALSE)</f>
        <v>LATAM</v>
      </c>
      <c r="H97" s="1" t="str">
        <f>"Q"&amp;ROUNDUP(MONTH(VolumebyClient[[#This Row],[Date]])/3,0)&amp;" "&amp;YEAR(VolumebyClient[[#This Row],[Date]])</f>
        <v>Q3 2020</v>
      </c>
      <c r="I97" s="1" t="str">
        <f>VLOOKUP(VolumebyClient[[#This Row],[Date]],Quarters[],3,TRUE)</f>
        <v>Q3 2020</v>
      </c>
    </row>
    <row r="98" spans="1:9" x14ac:dyDescent="0.2">
      <c r="A98" s="2" t="s">
        <v>28</v>
      </c>
      <c r="B98" s="10">
        <v>44074</v>
      </c>
      <c r="C98" s="5">
        <v>656</v>
      </c>
      <c r="D98" s="1">
        <f>LEN(VolumebyClient[[#This Row],[CLID]])</f>
        <v>7</v>
      </c>
      <c r="F98" s="1" t="str">
        <f>INDEX(GeobyClient[GEOID],MATCH(VolumebyClient[[#This Row],[CLID]],GeobyClient[Right],0))</f>
        <v>GEO1004</v>
      </c>
      <c r="G98" s="1" t="str">
        <f>VLOOKUP(VolumebyClient[[#This Row],[Index Match Region ID]],GEONames[[GEOID]:[GEO NAME]],2,FALSE)</f>
        <v>LATAM</v>
      </c>
      <c r="H98" s="1" t="str">
        <f>"Q"&amp;ROUNDUP(MONTH(VolumebyClient[[#This Row],[Date]])/3,0)&amp;" "&amp;YEAR(VolumebyClient[[#This Row],[Date]])</f>
        <v>Q3 2020</v>
      </c>
      <c r="I98" s="1" t="str">
        <f>VLOOKUP(VolumebyClient[[#This Row],[Date]],Quarters[],3,TRUE)</f>
        <v>Q3 2020</v>
      </c>
    </row>
    <row r="99" spans="1:9" x14ac:dyDescent="0.2">
      <c r="A99" s="2" t="s">
        <v>28</v>
      </c>
      <c r="B99" s="10">
        <v>44104</v>
      </c>
      <c r="C99" s="5">
        <v>554</v>
      </c>
      <c r="D99" s="1">
        <f>LEN(VolumebyClient[[#This Row],[CLID]])</f>
        <v>7</v>
      </c>
      <c r="F99" s="1" t="str">
        <f>INDEX(GeobyClient[GEOID],MATCH(VolumebyClient[[#This Row],[CLID]],GeobyClient[Right],0))</f>
        <v>GEO1004</v>
      </c>
      <c r="G99" s="1" t="str">
        <f>VLOOKUP(VolumebyClient[[#This Row],[Index Match Region ID]],GEONames[[GEOID]:[GEO NAME]],2,FALSE)</f>
        <v>LATAM</v>
      </c>
      <c r="H99" s="1" t="str">
        <f>"Q"&amp;ROUNDUP(MONTH(VolumebyClient[[#This Row],[Date]])/3,0)&amp;" "&amp;YEAR(VolumebyClient[[#This Row],[Date]])</f>
        <v>Q3 2020</v>
      </c>
      <c r="I99" s="1" t="str">
        <f>VLOOKUP(VolumebyClient[[#This Row],[Date]],Quarters[],3,TRUE)</f>
        <v>Q3 2020</v>
      </c>
    </row>
    <row r="100" spans="1:9" x14ac:dyDescent="0.2">
      <c r="A100" s="2" t="s">
        <v>28</v>
      </c>
      <c r="B100" s="10">
        <v>44135</v>
      </c>
      <c r="C100" s="5">
        <v>760</v>
      </c>
      <c r="D100" s="1">
        <f>LEN(VolumebyClient[[#This Row],[CLID]])</f>
        <v>7</v>
      </c>
      <c r="F100" s="1" t="str">
        <f>INDEX(GeobyClient[GEOID],MATCH(VolumebyClient[[#This Row],[CLID]],GeobyClient[Right],0))</f>
        <v>GEO1004</v>
      </c>
      <c r="G100" s="1" t="str">
        <f>VLOOKUP(VolumebyClient[[#This Row],[Index Match Region ID]],GEONames[[GEOID]:[GEO NAME]],2,FALSE)</f>
        <v>LATAM</v>
      </c>
      <c r="H100" s="1" t="str">
        <f>"Q"&amp;ROUNDUP(MONTH(VolumebyClient[[#This Row],[Date]])/3,0)&amp;" "&amp;YEAR(VolumebyClient[[#This Row],[Date]])</f>
        <v>Q4 2020</v>
      </c>
      <c r="I100" s="1" t="str">
        <f>VLOOKUP(VolumebyClient[[#This Row],[Date]],Quarters[],3,TRUE)</f>
        <v>Q4 2020</v>
      </c>
    </row>
    <row r="101" spans="1:9" x14ac:dyDescent="0.2">
      <c r="A101" s="2" t="s">
        <v>28</v>
      </c>
      <c r="B101" s="10">
        <v>44165</v>
      </c>
      <c r="C101" s="5">
        <v>759</v>
      </c>
      <c r="D101" s="1">
        <f>LEN(VolumebyClient[[#This Row],[CLID]])</f>
        <v>7</v>
      </c>
      <c r="F101" s="1" t="str">
        <f>INDEX(GeobyClient[GEOID],MATCH(VolumebyClient[[#This Row],[CLID]],GeobyClient[Right],0))</f>
        <v>GEO1004</v>
      </c>
      <c r="G101" s="1" t="str">
        <f>VLOOKUP(VolumebyClient[[#This Row],[Index Match Region ID]],GEONames[[GEOID]:[GEO NAME]],2,FALSE)</f>
        <v>LATAM</v>
      </c>
      <c r="H101" s="1" t="str">
        <f>"Q"&amp;ROUNDUP(MONTH(VolumebyClient[[#This Row],[Date]])/3,0)&amp;" "&amp;YEAR(VolumebyClient[[#This Row],[Date]])</f>
        <v>Q4 2020</v>
      </c>
      <c r="I101" s="1" t="str">
        <f>VLOOKUP(VolumebyClient[[#This Row],[Date]],Quarters[],3,TRUE)</f>
        <v>Q4 2020</v>
      </c>
    </row>
    <row r="102" spans="1:9" x14ac:dyDescent="0.2">
      <c r="A102" s="2" t="s">
        <v>28</v>
      </c>
      <c r="B102" s="10">
        <v>44196</v>
      </c>
      <c r="C102" s="5">
        <v>857</v>
      </c>
      <c r="D102" s="1">
        <f>LEN(VolumebyClient[[#This Row],[CLID]])</f>
        <v>7</v>
      </c>
      <c r="F102" s="1" t="str">
        <f>INDEX(GeobyClient[GEOID],MATCH(VolumebyClient[[#This Row],[CLID]],GeobyClient[Right],0))</f>
        <v>GEO1004</v>
      </c>
      <c r="G102" s="1" t="str">
        <f>VLOOKUP(VolumebyClient[[#This Row],[Index Match Region ID]],GEONames[[GEOID]:[GEO NAME]],2,FALSE)</f>
        <v>LATAM</v>
      </c>
      <c r="H102" s="1" t="str">
        <f>"Q"&amp;ROUNDUP(MONTH(VolumebyClient[[#This Row],[Date]])/3,0)&amp;" "&amp;YEAR(VolumebyClient[[#This Row],[Date]])</f>
        <v>Q4 2020</v>
      </c>
      <c r="I102" s="1" t="str">
        <f>VLOOKUP(VolumebyClient[[#This Row],[Date]],Quarters[],3,TRUE)</f>
        <v>Q4 2020</v>
      </c>
    </row>
    <row r="103" spans="1:9" x14ac:dyDescent="0.2">
      <c r="A103" s="2" t="s">
        <v>28</v>
      </c>
      <c r="B103" s="10">
        <v>44377</v>
      </c>
      <c r="C103" s="5">
        <v>865</v>
      </c>
      <c r="D103" s="1">
        <f>LEN(VolumebyClient[[#This Row],[CLID]])</f>
        <v>7</v>
      </c>
      <c r="F103" s="1" t="str">
        <f>INDEX(GeobyClient[GEOID],MATCH(VolumebyClient[[#This Row],[CLID]],GeobyClient[Right],0))</f>
        <v>GEO1004</v>
      </c>
      <c r="G103" s="1" t="str">
        <f>VLOOKUP(VolumebyClient[[#This Row],[Index Match Region ID]],GEONames[[GEOID]:[GEO NAME]],2,FALSE)</f>
        <v>LATAM</v>
      </c>
      <c r="H103" s="1" t="str">
        <f>"Q"&amp;ROUNDUP(MONTH(VolumebyClient[[#This Row],[Date]])/3,0)&amp;" "&amp;YEAR(VolumebyClient[[#This Row],[Date]])</f>
        <v>Q2 2021</v>
      </c>
      <c r="I103" s="1" t="str">
        <f>VLOOKUP(VolumebyClient[[#This Row],[Date]],Quarters[],3,TRUE)</f>
        <v>Q2 2021</v>
      </c>
    </row>
    <row r="104" spans="1:9" x14ac:dyDescent="0.2">
      <c r="A104" s="2" t="s">
        <v>28</v>
      </c>
      <c r="B104" s="10">
        <v>44347</v>
      </c>
      <c r="C104" s="5">
        <v>1078</v>
      </c>
      <c r="D104" s="1">
        <f>LEN(VolumebyClient[[#This Row],[CLID]])</f>
        <v>7</v>
      </c>
      <c r="F104" s="1" t="str">
        <f>INDEX(GeobyClient[GEOID],MATCH(VolumebyClient[[#This Row],[CLID]],GeobyClient[Right],0))</f>
        <v>GEO1004</v>
      </c>
      <c r="G104" s="1" t="str">
        <f>VLOOKUP(VolumebyClient[[#This Row],[Index Match Region ID]],GEONames[[GEOID]:[GEO NAME]],2,FALSE)</f>
        <v>LATAM</v>
      </c>
      <c r="H104" s="1" t="str">
        <f>"Q"&amp;ROUNDUP(MONTH(VolumebyClient[[#This Row],[Date]])/3,0)&amp;" "&amp;YEAR(VolumebyClient[[#This Row],[Date]])</f>
        <v>Q2 2021</v>
      </c>
      <c r="I104" s="1" t="str">
        <f>VLOOKUP(VolumebyClient[[#This Row],[Date]],Quarters[],3,TRUE)</f>
        <v>Q2 2021</v>
      </c>
    </row>
    <row r="105" spans="1:9" x14ac:dyDescent="0.2">
      <c r="A105" s="2" t="s">
        <v>28</v>
      </c>
      <c r="B105" s="10">
        <v>44316</v>
      </c>
      <c r="C105" s="5">
        <v>1305</v>
      </c>
      <c r="D105" s="1">
        <f>LEN(VolumebyClient[[#This Row],[CLID]])</f>
        <v>7</v>
      </c>
      <c r="F105" s="1" t="str">
        <f>INDEX(GeobyClient[GEOID],MATCH(VolumebyClient[[#This Row],[CLID]],GeobyClient[Right],0))</f>
        <v>GEO1004</v>
      </c>
      <c r="G105" s="1" t="str">
        <f>VLOOKUP(VolumebyClient[[#This Row],[Index Match Region ID]],GEONames[[GEOID]:[GEO NAME]],2,FALSE)</f>
        <v>LATAM</v>
      </c>
      <c r="H105" s="1" t="str">
        <f>"Q"&amp;ROUNDUP(MONTH(VolumebyClient[[#This Row],[Date]])/3,0)&amp;" "&amp;YEAR(VolumebyClient[[#This Row],[Date]])</f>
        <v>Q2 2021</v>
      </c>
      <c r="I105" s="1" t="str">
        <f>VLOOKUP(VolumebyClient[[#This Row],[Date]],Quarters[],3,TRUE)</f>
        <v>Q2 2021</v>
      </c>
    </row>
    <row r="106" spans="1:9" x14ac:dyDescent="0.2">
      <c r="A106" s="2" t="s">
        <v>28</v>
      </c>
      <c r="B106" s="10">
        <v>44286</v>
      </c>
      <c r="C106" s="5">
        <v>950</v>
      </c>
      <c r="D106" s="1">
        <f>LEN(VolumebyClient[[#This Row],[CLID]])</f>
        <v>7</v>
      </c>
      <c r="F106" s="1" t="str">
        <f>INDEX(GeobyClient[GEOID],MATCH(VolumebyClient[[#This Row],[CLID]],GeobyClient[Right],0))</f>
        <v>GEO1004</v>
      </c>
      <c r="G106" s="1" t="str">
        <f>VLOOKUP(VolumebyClient[[#This Row],[Index Match Region ID]],GEONames[[GEOID]:[GEO NAME]],2,FALSE)</f>
        <v>LATAM</v>
      </c>
      <c r="H106" s="1" t="str">
        <f>"Q"&amp;ROUNDUP(MONTH(VolumebyClient[[#This Row],[Date]])/3,0)&amp;" "&amp;YEAR(VolumebyClient[[#This Row],[Date]])</f>
        <v>Q1 2021</v>
      </c>
      <c r="I106" s="1" t="str">
        <f>VLOOKUP(VolumebyClient[[#This Row],[Date]],Quarters[],3,TRUE)</f>
        <v>Q1 2021</v>
      </c>
    </row>
    <row r="107" spans="1:9" x14ac:dyDescent="0.2">
      <c r="A107" s="2" t="s">
        <v>28</v>
      </c>
      <c r="B107" s="10">
        <v>44255</v>
      </c>
      <c r="C107" s="5">
        <v>968</v>
      </c>
      <c r="D107" s="1">
        <f>LEN(VolumebyClient[[#This Row],[CLID]])</f>
        <v>7</v>
      </c>
      <c r="F107" s="1" t="str">
        <f>INDEX(GeobyClient[GEOID],MATCH(VolumebyClient[[#This Row],[CLID]],GeobyClient[Right],0))</f>
        <v>GEO1004</v>
      </c>
      <c r="G107" s="1" t="str">
        <f>VLOOKUP(VolumebyClient[[#This Row],[Index Match Region ID]],GEONames[[GEOID]:[GEO NAME]],2,FALSE)</f>
        <v>LATAM</v>
      </c>
      <c r="H107" s="1" t="str">
        <f>"Q"&amp;ROUNDUP(MONTH(VolumebyClient[[#This Row],[Date]])/3,0)&amp;" "&amp;YEAR(VolumebyClient[[#This Row],[Date]])</f>
        <v>Q1 2021</v>
      </c>
      <c r="I107" s="1" t="str">
        <f>VLOOKUP(VolumebyClient[[#This Row],[Date]],Quarters[],3,TRUE)</f>
        <v>Q1 2021</v>
      </c>
    </row>
    <row r="108" spans="1:9" x14ac:dyDescent="0.2">
      <c r="A108" s="2" t="s">
        <v>28</v>
      </c>
      <c r="B108" s="10">
        <v>44227</v>
      </c>
      <c r="C108" s="5">
        <v>749</v>
      </c>
      <c r="D108" s="1">
        <f>LEN(VolumebyClient[[#This Row],[CLID]])</f>
        <v>7</v>
      </c>
      <c r="F108" s="1" t="str">
        <f>INDEX(GeobyClient[GEOID],MATCH(VolumebyClient[[#This Row],[CLID]],GeobyClient[Right],0))</f>
        <v>GEO1004</v>
      </c>
      <c r="G108" s="1" t="str">
        <f>VLOOKUP(VolumebyClient[[#This Row],[Index Match Region ID]],GEONames[[GEOID]:[GEO NAME]],2,FALSE)</f>
        <v>LATAM</v>
      </c>
      <c r="H108" s="1" t="str">
        <f>"Q"&amp;ROUNDUP(MONTH(VolumebyClient[[#This Row],[Date]])/3,0)&amp;" "&amp;YEAR(VolumebyClient[[#This Row],[Date]])</f>
        <v>Q1 2021</v>
      </c>
      <c r="I108" s="1" t="str">
        <f>VLOOKUP(VolumebyClient[[#This Row],[Date]],Quarters[],3,TRUE)</f>
        <v>Q1 2021</v>
      </c>
    </row>
    <row r="109" spans="1:9" x14ac:dyDescent="0.2">
      <c r="A109" s="2" t="s">
        <v>30</v>
      </c>
      <c r="B109" s="10">
        <v>43861</v>
      </c>
      <c r="C109" s="5">
        <v>945</v>
      </c>
      <c r="D109" s="1">
        <f>LEN(VolumebyClient[[#This Row],[CLID]])</f>
        <v>7</v>
      </c>
      <c r="F109" s="1" t="str">
        <f>INDEX(GeobyClient[GEOID],MATCH(VolumebyClient[[#This Row],[CLID]],GeobyClient[Right],0))</f>
        <v>GEO1002</v>
      </c>
      <c r="G109" s="1" t="str">
        <f>VLOOKUP(VolumebyClient[[#This Row],[Index Match Region ID]],GEONames[[GEOID]:[GEO NAME]],2,FALSE)</f>
        <v>APAC</v>
      </c>
      <c r="H109" s="1" t="str">
        <f>"Q"&amp;ROUNDUP(MONTH(VolumebyClient[[#This Row],[Date]])/3,0)&amp;" "&amp;YEAR(VolumebyClient[[#This Row],[Date]])</f>
        <v>Q1 2020</v>
      </c>
      <c r="I109" s="1" t="str">
        <f>VLOOKUP(VolumebyClient[[#This Row],[Date]],Quarters[],3,TRUE)</f>
        <v>Q1 2020</v>
      </c>
    </row>
    <row r="110" spans="1:9" x14ac:dyDescent="0.2">
      <c r="A110" s="2" t="s">
        <v>30</v>
      </c>
      <c r="B110" s="10">
        <v>43890</v>
      </c>
      <c r="C110" s="5">
        <v>941</v>
      </c>
      <c r="D110" s="1">
        <f>LEN(VolumebyClient[[#This Row],[CLID]])</f>
        <v>7</v>
      </c>
      <c r="F110" s="1" t="str">
        <f>INDEX(GeobyClient[GEOID],MATCH(VolumebyClient[[#This Row],[CLID]],GeobyClient[Right],0))</f>
        <v>GEO1002</v>
      </c>
      <c r="G110" s="1" t="str">
        <f>VLOOKUP(VolumebyClient[[#This Row],[Index Match Region ID]],GEONames[[GEOID]:[GEO NAME]],2,FALSE)</f>
        <v>APAC</v>
      </c>
      <c r="H110" s="1" t="str">
        <f>"Q"&amp;ROUNDUP(MONTH(VolumebyClient[[#This Row],[Date]])/3,0)&amp;" "&amp;YEAR(VolumebyClient[[#This Row],[Date]])</f>
        <v>Q1 2020</v>
      </c>
      <c r="I110" s="1" t="str">
        <f>VLOOKUP(VolumebyClient[[#This Row],[Date]],Quarters[],3,TRUE)</f>
        <v>Q1 2020</v>
      </c>
    </row>
    <row r="111" spans="1:9" x14ac:dyDescent="0.2">
      <c r="A111" s="2" t="s">
        <v>30</v>
      </c>
      <c r="B111" s="10">
        <v>43921</v>
      </c>
      <c r="C111" s="5">
        <v>1164</v>
      </c>
      <c r="D111" s="1">
        <f>LEN(VolumebyClient[[#This Row],[CLID]])</f>
        <v>7</v>
      </c>
      <c r="F111" s="1" t="str">
        <f>INDEX(GeobyClient[GEOID],MATCH(VolumebyClient[[#This Row],[CLID]],GeobyClient[Right],0))</f>
        <v>GEO1002</v>
      </c>
      <c r="G111" s="1" t="str">
        <f>VLOOKUP(VolumebyClient[[#This Row],[Index Match Region ID]],GEONames[[GEOID]:[GEO NAME]],2,FALSE)</f>
        <v>APAC</v>
      </c>
      <c r="H111" s="1" t="str">
        <f>"Q"&amp;ROUNDUP(MONTH(VolumebyClient[[#This Row],[Date]])/3,0)&amp;" "&amp;YEAR(VolumebyClient[[#This Row],[Date]])</f>
        <v>Q1 2020</v>
      </c>
      <c r="I111" s="1" t="str">
        <f>VLOOKUP(VolumebyClient[[#This Row],[Date]],Quarters[],3,TRUE)</f>
        <v>Q1 2020</v>
      </c>
    </row>
    <row r="112" spans="1:9" x14ac:dyDescent="0.2">
      <c r="A112" s="2" t="s">
        <v>30</v>
      </c>
      <c r="B112" s="10">
        <v>43951</v>
      </c>
      <c r="C112" s="5">
        <v>1276</v>
      </c>
      <c r="D112" s="1">
        <f>LEN(VolumebyClient[[#This Row],[CLID]])</f>
        <v>7</v>
      </c>
      <c r="F112" s="1" t="str">
        <f>INDEX(GeobyClient[GEOID],MATCH(VolumebyClient[[#This Row],[CLID]],GeobyClient[Right],0))</f>
        <v>GEO1002</v>
      </c>
      <c r="G112" s="1" t="str">
        <f>VLOOKUP(VolumebyClient[[#This Row],[Index Match Region ID]],GEONames[[GEOID]:[GEO NAME]],2,FALSE)</f>
        <v>APAC</v>
      </c>
      <c r="H112" s="1" t="str">
        <f>"Q"&amp;ROUNDUP(MONTH(VolumebyClient[[#This Row],[Date]])/3,0)&amp;" "&amp;YEAR(VolumebyClient[[#This Row],[Date]])</f>
        <v>Q2 2020</v>
      </c>
      <c r="I112" s="1" t="str">
        <f>VLOOKUP(VolumebyClient[[#This Row],[Date]],Quarters[],3,TRUE)</f>
        <v>Q2 2020</v>
      </c>
    </row>
    <row r="113" spans="1:9" x14ac:dyDescent="0.2">
      <c r="A113" s="2" t="s">
        <v>30</v>
      </c>
      <c r="B113" s="10">
        <v>43982</v>
      </c>
      <c r="C113" s="5">
        <v>1275</v>
      </c>
      <c r="D113" s="1">
        <f>LEN(VolumebyClient[[#This Row],[CLID]])</f>
        <v>7</v>
      </c>
      <c r="F113" s="1" t="str">
        <f>INDEX(GeobyClient[GEOID],MATCH(VolumebyClient[[#This Row],[CLID]],GeobyClient[Right],0))</f>
        <v>GEO1002</v>
      </c>
      <c r="G113" s="1" t="str">
        <f>VLOOKUP(VolumebyClient[[#This Row],[Index Match Region ID]],GEONames[[GEOID]:[GEO NAME]],2,FALSE)</f>
        <v>APAC</v>
      </c>
      <c r="H113" s="1" t="str">
        <f>"Q"&amp;ROUNDUP(MONTH(VolumebyClient[[#This Row],[Date]])/3,0)&amp;" "&amp;YEAR(VolumebyClient[[#This Row],[Date]])</f>
        <v>Q2 2020</v>
      </c>
      <c r="I113" s="1" t="str">
        <f>VLOOKUP(VolumebyClient[[#This Row],[Date]],Quarters[],3,TRUE)</f>
        <v>Q2 2020</v>
      </c>
    </row>
    <row r="114" spans="1:9" x14ac:dyDescent="0.2">
      <c r="A114" s="2" t="s">
        <v>30</v>
      </c>
      <c r="B114" s="10">
        <v>44012</v>
      </c>
      <c r="C114" s="5">
        <v>834</v>
      </c>
      <c r="D114" s="1">
        <f>LEN(VolumebyClient[[#This Row],[CLID]])</f>
        <v>7</v>
      </c>
      <c r="F114" s="1" t="str">
        <f>INDEX(GeobyClient[GEOID],MATCH(VolumebyClient[[#This Row],[CLID]],GeobyClient[Right],0))</f>
        <v>GEO1002</v>
      </c>
      <c r="G114" s="1" t="str">
        <f>VLOOKUP(VolumebyClient[[#This Row],[Index Match Region ID]],GEONames[[GEOID]:[GEO NAME]],2,FALSE)</f>
        <v>APAC</v>
      </c>
      <c r="H114" s="1" t="str">
        <f>"Q"&amp;ROUNDUP(MONTH(VolumebyClient[[#This Row],[Date]])/3,0)&amp;" "&amp;YEAR(VolumebyClient[[#This Row],[Date]])</f>
        <v>Q2 2020</v>
      </c>
      <c r="I114" s="1" t="str">
        <f>VLOOKUP(VolumebyClient[[#This Row],[Date]],Quarters[],3,TRUE)</f>
        <v>Q2 2020</v>
      </c>
    </row>
    <row r="115" spans="1:9" x14ac:dyDescent="0.2">
      <c r="A115" s="2" t="s">
        <v>30</v>
      </c>
      <c r="B115" s="10">
        <v>44043</v>
      </c>
      <c r="C115" s="5">
        <v>833</v>
      </c>
      <c r="D115" s="1">
        <f>LEN(VolumebyClient[[#This Row],[CLID]])</f>
        <v>7</v>
      </c>
      <c r="F115" s="1" t="str">
        <f>INDEX(GeobyClient[GEOID],MATCH(VolumebyClient[[#This Row],[CLID]],GeobyClient[Right],0))</f>
        <v>GEO1002</v>
      </c>
      <c r="G115" s="1" t="str">
        <f>VLOOKUP(VolumebyClient[[#This Row],[Index Match Region ID]],GEONames[[GEOID]:[GEO NAME]],2,FALSE)</f>
        <v>APAC</v>
      </c>
      <c r="H115" s="1" t="str">
        <f>"Q"&amp;ROUNDUP(MONTH(VolumebyClient[[#This Row],[Date]])/3,0)&amp;" "&amp;YEAR(VolumebyClient[[#This Row],[Date]])</f>
        <v>Q3 2020</v>
      </c>
      <c r="I115" s="1" t="str">
        <f>VLOOKUP(VolumebyClient[[#This Row],[Date]],Quarters[],3,TRUE)</f>
        <v>Q3 2020</v>
      </c>
    </row>
    <row r="116" spans="1:9" x14ac:dyDescent="0.2">
      <c r="A116" s="2" t="s">
        <v>30</v>
      </c>
      <c r="B116" s="10">
        <v>44074</v>
      </c>
      <c r="C116" s="5">
        <v>610</v>
      </c>
      <c r="D116" s="1">
        <f>LEN(VolumebyClient[[#This Row],[CLID]])</f>
        <v>7</v>
      </c>
      <c r="F116" s="1" t="str">
        <f>INDEX(GeobyClient[GEOID],MATCH(VolumebyClient[[#This Row],[CLID]],GeobyClient[Right],0))</f>
        <v>GEO1002</v>
      </c>
      <c r="G116" s="1" t="str">
        <f>VLOOKUP(VolumebyClient[[#This Row],[Index Match Region ID]],GEONames[[GEOID]:[GEO NAME]],2,FALSE)</f>
        <v>APAC</v>
      </c>
      <c r="H116" s="1" t="str">
        <f>"Q"&amp;ROUNDUP(MONTH(VolumebyClient[[#This Row],[Date]])/3,0)&amp;" "&amp;YEAR(VolumebyClient[[#This Row],[Date]])</f>
        <v>Q3 2020</v>
      </c>
      <c r="I116" s="1" t="str">
        <f>VLOOKUP(VolumebyClient[[#This Row],[Date]],Quarters[],3,TRUE)</f>
        <v>Q3 2020</v>
      </c>
    </row>
    <row r="117" spans="1:9" x14ac:dyDescent="0.2">
      <c r="A117" s="2" t="s">
        <v>30</v>
      </c>
      <c r="B117" s="10">
        <v>44104</v>
      </c>
      <c r="C117" s="5">
        <v>722</v>
      </c>
      <c r="D117" s="1">
        <f>LEN(VolumebyClient[[#This Row],[CLID]])</f>
        <v>7</v>
      </c>
      <c r="F117" s="1" t="str">
        <f>INDEX(GeobyClient[GEOID],MATCH(VolumebyClient[[#This Row],[CLID]],GeobyClient[Right],0))</f>
        <v>GEO1002</v>
      </c>
      <c r="G117" s="1" t="str">
        <f>VLOOKUP(VolumebyClient[[#This Row],[Index Match Region ID]],GEONames[[GEOID]:[GEO NAME]],2,FALSE)</f>
        <v>APAC</v>
      </c>
      <c r="H117" s="1" t="str">
        <f>"Q"&amp;ROUNDUP(MONTH(VolumebyClient[[#This Row],[Date]])/3,0)&amp;" "&amp;YEAR(VolumebyClient[[#This Row],[Date]])</f>
        <v>Q3 2020</v>
      </c>
      <c r="I117" s="1" t="str">
        <f>VLOOKUP(VolumebyClient[[#This Row],[Date]],Quarters[],3,TRUE)</f>
        <v>Q3 2020</v>
      </c>
    </row>
    <row r="118" spans="1:9" x14ac:dyDescent="0.2">
      <c r="A118" s="2" t="s">
        <v>30</v>
      </c>
      <c r="B118" s="10">
        <v>44135</v>
      </c>
      <c r="C118" s="5">
        <v>722</v>
      </c>
      <c r="D118" s="1">
        <f>LEN(VolumebyClient[[#This Row],[CLID]])</f>
        <v>7</v>
      </c>
      <c r="F118" s="1" t="str">
        <f>INDEX(GeobyClient[GEOID],MATCH(VolumebyClient[[#This Row],[CLID]],GeobyClient[Right],0))</f>
        <v>GEO1002</v>
      </c>
      <c r="G118" s="1" t="str">
        <f>VLOOKUP(VolumebyClient[[#This Row],[Index Match Region ID]],GEONames[[GEOID]:[GEO NAME]],2,FALSE)</f>
        <v>APAC</v>
      </c>
      <c r="H118" s="1" t="str">
        <f>"Q"&amp;ROUNDUP(MONTH(VolumebyClient[[#This Row],[Date]])/3,0)&amp;" "&amp;YEAR(VolumebyClient[[#This Row],[Date]])</f>
        <v>Q4 2020</v>
      </c>
      <c r="I118" s="1" t="str">
        <f>VLOOKUP(VolumebyClient[[#This Row],[Date]],Quarters[],3,TRUE)</f>
        <v>Q4 2020</v>
      </c>
    </row>
    <row r="119" spans="1:9" x14ac:dyDescent="0.2">
      <c r="A119" s="2" t="s">
        <v>30</v>
      </c>
      <c r="B119" s="10">
        <v>44165</v>
      </c>
      <c r="C119" s="5">
        <v>939</v>
      </c>
      <c r="D119" s="1">
        <f>LEN(VolumebyClient[[#This Row],[CLID]])</f>
        <v>7</v>
      </c>
      <c r="F119" s="1" t="str">
        <f>INDEX(GeobyClient[GEOID],MATCH(VolumebyClient[[#This Row],[CLID]],GeobyClient[Right],0))</f>
        <v>GEO1002</v>
      </c>
      <c r="G119" s="1" t="str">
        <f>VLOOKUP(VolumebyClient[[#This Row],[Index Match Region ID]],GEONames[[GEOID]:[GEO NAME]],2,FALSE)</f>
        <v>APAC</v>
      </c>
      <c r="H119" s="1" t="str">
        <f>"Q"&amp;ROUNDUP(MONTH(VolumebyClient[[#This Row],[Date]])/3,0)&amp;" "&amp;YEAR(VolumebyClient[[#This Row],[Date]])</f>
        <v>Q4 2020</v>
      </c>
      <c r="I119" s="1" t="str">
        <f>VLOOKUP(VolumebyClient[[#This Row],[Date]],Quarters[],3,TRUE)</f>
        <v>Q4 2020</v>
      </c>
    </row>
    <row r="120" spans="1:9" x14ac:dyDescent="0.2">
      <c r="A120" s="2" t="s">
        <v>30</v>
      </c>
      <c r="B120" s="10">
        <v>44196</v>
      </c>
      <c r="C120" s="5">
        <v>829</v>
      </c>
      <c r="D120" s="1">
        <f>LEN(VolumebyClient[[#This Row],[CLID]])</f>
        <v>7</v>
      </c>
      <c r="F120" s="1" t="str">
        <f>INDEX(GeobyClient[GEOID],MATCH(VolumebyClient[[#This Row],[CLID]],GeobyClient[Right],0))</f>
        <v>GEO1002</v>
      </c>
      <c r="G120" s="1" t="str">
        <f>VLOOKUP(VolumebyClient[[#This Row],[Index Match Region ID]],GEONames[[GEOID]:[GEO NAME]],2,FALSE)</f>
        <v>APAC</v>
      </c>
      <c r="H120" s="1" t="str">
        <f>"Q"&amp;ROUNDUP(MONTH(VolumebyClient[[#This Row],[Date]])/3,0)&amp;" "&amp;YEAR(VolumebyClient[[#This Row],[Date]])</f>
        <v>Q4 2020</v>
      </c>
      <c r="I120" s="1" t="str">
        <f>VLOOKUP(VolumebyClient[[#This Row],[Date]],Quarters[],3,TRUE)</f>
        <v>Q4 2020</v>
      </c>
    </row>
    <row r="121" spans="1:9" x14ac:dyDescent="0.2">
      <c r="A121" s="2" t="s">
        <v>30</v>
      </c>
      <c r="B121" s="10">
        <v>44377</v>
      </c>
      <c r="C121" s="5">
        <v>848</v>
      </c>
      <c r="D121" s="1">
        <f>LEN(VolumebyClient[[#This Row],[CLID]])</f>
        <v>7</v>
      </c>
      <c r="F121" s="1" t="str">
        <f>INDEX(GeobyClient[GEOID],MATCH(VolumebyClient[[#This Row],[CLID]],GeobyClient[Right],0))</f>
        <v>GEO1002</v>
      </c>
      <c r="G121" s="1" t="str">
        <f>VLOOKUP(VolumebyClient[[#This Row],[Index Match Region ID]],GEONames[[GEOID]:[GEO NAME]],2,FALSE)</f>
        <v>APAC</v>
      </c>
      <c r="H121" s="1" t="str">
        <f>"Q"&amp;ROUNDUP(MONTH(VolumebyClient[[#This Row],[Date]])/3,0)&amp;" "&amp;YEAR(VolumebyClient[[#This Row],[Date]])</f>
        <v>Q2 2021</v>
      </c>
      <c r="I121" s="1" t="str">
        <f>VLOOKUP(VolumebyClient[[#This Row],[Date]],Quarters[],3,TRUE)</f>
        <v>Q2 2021</v>
      </c>
    </row>
    <row r="122" spans="1:9" x14ac:dyDescent="0.2">
      <c r="A122" s="2" t="s">
        <v>30</v>
      </c>
      <c r="B122" s="10">
        <v>44347</v>
      </c>
      <c r="C122" s="5">
        <v>1326</v>
      </c>
      <c r="D122" s="1">
        <f>LEN(VolumebyClient[[#This Row],[CLID]])</f>
        <v>7</v>
      </c>
      <c r="F122" s="1" t="str">
        <f>INDEX(GeobyClient[GEOID],MATCH(VolumebyClient[[#This Row],[CLID]],GeobyClient[Right],0))</f>
        <v>GEO1002</v>
      </c>
      <c r="G122" s="1" t="str">
        <f>VLOOKUP(VolumebyClient[[#This Row],[Index Match Region ID]],GEONames[[GEOID]:[GEO NAME]],2,FALSE)</f>
        <v>APAC</v>
      </c>
      <c r="H122" s="1" t="str">
        <f>"Q"&amp;ROUNDUP(MONTH(VolumebyClient[[#This Row],[Date]])/3,0)&amp;" "&amp;YEAR(VolumebyClient[[#This Row],[Date]])</f>
        <v>Q2 2021</v>
      </c>
      <c r="I122" s="1" t="str">
        <f>VLOOKUP(VolumebyClient[[#This Row],[Date]],Quarters[],3,TRUE)</f>
        <v>Q2 2021</v>
      </c>
    </row>
    <row r="123" spans="1:9" x14ac:dyDescent="0.2">
      <c r="A123" s="2" t="s">
        <v>30</v>
      </c>
      <c r="B123" s="10">
        <v>44316</v>
      </c>
      <c r="C123" s="5">
        <v>1309</v>
      </c>
      <c r="D123" s="1">
        <f>LEN(VolumebyClient[[#This Row],[CLID]])</f>
        <v>7</v>
      </c>
      <c r="F123" s="1" t="str">
        <f>INDEX(GeobyClient[GEOID],MATCH(VolumebyClient[[#This Row],[CLID]],GeobyClient[Right],0))</f>
        <v>GEO1002</v>
      </c>
      <c r="G123" s="1" t="str">
        <f>VLOOKUP(VolumebyClient[[#This Row],[Index Match Region ID]],GEONames[[GEOID]:[GEO NAME]],2,FALSE)</f>
        <v>APAC</v>
      </c>
      <c r="H123" s="1" t="str">
        <f>"Q"&amp;ROUNDUP(MONTH(VolumebyClient[[#This Row],[Date]])/3,0)&amp;" "&amp;YEAR(VolumebyClient[[#This Row],[Date]])</f>
        <v>Q2 2021</v>
      </c>
      <c r="I123" s="1" t="str">
        <f>VLOOKUP(VolumebyClient[[#This Row],[Date]],Quarters[],3,TRUE)</f>
        <v>Q2 2021</v>
      </c>
    </row>
    <row r="124" spans="1:9" x14ac:dyDescent="0.2">
      <c r="A124" s="2" t="s">
        <v>30</v>
      </c>
      <c r="B124" s="10">
        <v>44286</v>
      </c>
      <c r="C124" s="5">
        <v>1173</v>
      </c>
      <c r="D124" s="1">
        <f>LEN(VolumebyClient[[#This Row],[CLID]])</f>
        <v>7</v>
      </c>
      <c r="F124" s="1" t="str">
        <f>INDEX(GeobyClient[GEOID],MATCH(VolumebyClient[[#This Row],[CLID]],GeobyClient[Right],0))</f>
        <v>GEO1002</v>
      </c>
      <c r="G124" s="1" t="str">
        <f>VLOOKUP(VolumebyClient[[#This Row],[Index Match Region ID]],GEONames[[GEOID]:[GEO NAME]],2,FALSE)</f>
        <v>APAC</v>
      </c>
      <c r="H124" s="1" t="str">
        <f>"Q"&amp;ROUNDUP(MONTH(VolumebyClient[[#This Row],[Date]])/3,0)&amp;" "&amp;YEAR(VolumebyClient[[#This Row],[Date]])</f>
        <v>Q1 2021</v>
      </c>
      <c r="I124" s="1" t="str">
        <f>VLOOKUP(VolumebyClient[[#This Row],[Date]],Quarters[],3,TRUE)</f>
        <v>Q1 2021</v>
      </c>
    </row>
    <row r="125" spans="1:9" x14ac:dyDescent="0.2">
      <c r="A125" s="2" t="s">
        <v>30</v>
      </c>
      <c r="B125" s="10">
        <v>44255</v>
      </c>
      <c r="C125" s="5">
        <v>935</v>
      </c>
      <c r="D125" s="1">
        <f>LEN(VolumebyClient[[#This Row],[CLID]])</f>
        <v>7</v>
      </c>
      <c r="F125" s="1" t="str">
        <f>INDEX(GeobyClient[GEOID],MATCH(VolumebyClient[[#This Row],[CLID]],GeobyClient[Right],0))</f>
        <v>GEO1002</v>
      </c>
      <c r="G125" s="1" t="str">
        <f>VLOOKUP(VolumebyClient[[#This Row],[Index Match Region ID]],GEONames[[GEOID]:[GEO NAME]],2,FALSE)</f>
        <v>APAC</v>
      </c>
      <c r="H125" s="1" t="str">
        <f>"Q"&amp;ROUNDUP(MONTH(VolumebyClient[[#This Row],[Date]])/3,0)&amp;" "&amp;YEAR(VolumebyClient[[#This Row],[Date]])</f>
        <v>Q1 2021</v>
      </c>
      <c r="I125" s="1" t="str">
        <f>VLOOKUP(VolumebyClient[[#This Row],[Date]],Quarters[],3,TRUE)</f>
        <v>Q1 2021</v>
      </c>
    </row>
    <row r="126" spans="1:9" x14ac:dyDescent="0.2">
      <c r="A126" s="2" t="s">
        <v>30</v>
      </c>
      <c r="B126" s="10">
        <v>44227</v>
      </c>
      <c r="C126" s="5">
        <v>973</v>
      </c>
      <c r="D126" s="1">
        <f>LEN(VolumebyClient[[#This Row],[CLID]])</f>
        <v>7</v>
      </c>
      <c r="F126" s="1" t="str">
        <f>INDEX(GeobyClient[GEOID],MATCH(VolumebyClient[[#This Row],[CLID]],GeobyClient[Right],0))</f>
        <v>GEO1002</v>
      </c>
      <c r="G126" s="1" t="str">
        <f>VLOOKUP(VolumebyClient[[#This Row],[Index Match Region ID]],GEONames[[GEOID]:[GEO NAME]],2,FALSE)</f>
        <v>APAC</v>
      </c>
      <c r="H126" s="1" t="str">
        <f>"Q"&amp;ROUNDUP(MONTH(VolumebyClient[[#This Row],[Date]])/3,0)&amp;" "&amp;YEAR(VolumebyClient[[#This Row],[Date]])</f>
        <v>Q1 2021</v>
      </c>
      <c r="I126" s="1" t="str">
        <f>VLOOKUP(VolumebyClient[[#This Row],[Date]],Quarters[],3,TRUE)</f>
        <v>Q1 2021</v>
      </c>
    </row>
    <row r="127" spans="1:9" x14ac:dyDescent="0.2">
      <c r="A127" s="2" t="s">
        <v>6</v>
      </c>
      <c r="B127" s="10">
        <v>43861</v>
      </c>
      <c r="C127" s="5">
        <v>188</v>
      </c>
      <c r="D127" s="1">
        <f>LEN(VolumebyClient[[#This Row],[CLID]])</f>
        <v>7</v>
      </c>
      <c r="F127" s="1" t="str">
        <f>INDEX(GeobyClient[GEOID],MATCH(VolumebyClient[[#This Row],[CLID]],GeobyClient[Right],0))</f>
        <v>GEO1004</v>
      </c>
      <c r="G127" s="1" t="str">
        <f>VLOOKUP(VolumebyClient[[#This Row],[Index Match Region ID]],GEONames[[GEOID]:[GEO NAME]],2,FALSE)</f>
        <v>LATAM</v>
      </c>
      <c r="H127" s="1" t="str">
        <f>"Q"&amp;ROUNDUP(MONTH(VolumebyClient[[#This Row],[Date]])/3,0)&amp;" "&amp;YEAR(VolumebyClient[[#This Row],[Date]])</f>
        <v>Q1 2020</v>
      </c>
      <c r="I127" s="1" t="str">
        <f>VLOOKUP(VolumebyClient[[#This Row],[Date]],Quarters[],3,TRUE)</f>
        <v>Q1 2020</v>
      </c>
    </row>
    <row r="128" spans="1:9" x14ac:dyDescent="0.2">
      <c r="A128" s="2" t="s">
        <v>6</v>
      </c>
      <c r="B128" s="10">
        <v>43890</v>
      </c>
      <c r="C128" s="5">
        <v>168</v>
      </c>
      <c r="D128" s="1">
        <f>LEN(VolumebyClient[[#This Row],[CLID]])</f>
        <v>7</v>
      </c>
      <c r="F128" s="1" t="str">
        <f>INDEX(GeobyClient[GEOID],MATCH(VolumebyClient[[#This Row],[CLID]],GeobyClient[Right],0))</f>
        <v>GEO1004</v>
      </c>
      <c r="G128" s="1" t="str">
        <f>VLOOKUP(VolumebyClient[[#This Row],[Index Match Region ID]],GEONames[[GEOID]:[GEO NAME]],2,FALSE)</f>
        <v>LATAM</v>
      </c>
      <c r="H128" s="1" t="str">
        <f>"Q"&amp;ROUNDUP(MONTH(VolumebyClient[[#This Row],[Date]])/3,0)&amp;" "&amp;YEAR(VolumebyClient[[#This Row],[Date]])</f>
        <v>Q1 2020</v>
      </c>
      <c r="I128" s="1" t="str">
        <f>VLOOKUP(VolumebyClient[[#This Row],[Date]],Quarters[],3,TRUE)</f>
        <v>Q1 2020</v>
      </c>
    </row>
    <row r="129" spans="1:9" x14ac:dyDescent="0.2">
      <c r="A129" s="2" t="s">
        <v>6</v>
      </c>
      <c r="B129" s="10">
        <v>43921</v>
      </c>
      <c r="C129" s="5">
        <v>226</v>
      </c>
      <c r="D129" s="1">
        <f>LEN(VolumebyClient[[#This Row],[CLID]])</f>
        <v>7</v>
      </c>
      <c r="F129" s="1" t="str">
        <f>INDEX(GeobyClient[GEOID],MATCH(VolumebyClient[[#This Row],[CLID]],GeobyClient[Right],0))</f>
        <v>GEO1004</v>
      </c>
      <c r="G129" s="1" t="str">
        <f>VLOOKUP(VolumebyClient[[#This Row],[Index Match Region ID]],GEONames[[GEOID]:[GEO NAME]],2,FALSE)</f>
        <v>LATAM</v>
      </c>
      <c r="H129" s="1" t="str">
        <f>"Q"&amp;ROUNDUP(MONTH(VolumebyClient[[#This Row],[Date]])/3,0)&amp;" "&amp;YEAR(VolumebyClient[[#This Row],[Date]])</f>
        <v>Q1 2020</v>
      </c>
      <c r="I129" s="1" t="str">
        <f>VLOOKUP(VolumebyClient[[#This Row],[Date]],Quarters[],3,TRUE)</f>
        <v>Q1 2020</v>
      </c>
    </row>
    <row r="130" spans="1:9" x14ac:dyDescent="0.2">
      <c r="A130" s="2" t="s">
        <v>6</v>
      </c>
      <c r="B130" s="10">
        <v>43951</v>
      </c>
      <c r="C130" s="5">
        <v>223</v>
      </c>
      <c r="D130" s="1">
        <f>LEN(VolumebyClient[[#This Row],[CLID]])</f>
        <v>7</v>
      </c>
      <c r="F130" s="1" t="str">
        <f>INDEX(GeobyClient[GEOID],MATCH(VolumebyClient[[#This Row],[CLID]],GeobyClient[Right],0))</f>
        <v>GEO1004</v>
      </c>
      <c r="G130" s="1" t="str">
        <f>VLOOKUP(VolumebyClient[[#This Row],[Index Match Region ID]],GEONames[[GEOID]:[GEO NAME]],2,FALSE)</f>
        <v>LATAM</v>
      </c>
      <c r="H130" s="1" t="str">
        <f>"Q"&amp;ROUNDUP(MONTH(VolumebyClient[[#This Row],[Date]])/3,0)&amp;" "&amp;YEAR(VolumebyClient[[#This Row],[Date]])</f>
        <v>Q2 2020</v>
      </c>
      <c r="I130" s="1" t="str">
        <f>VLOOKUP(VolumebyClient[[#This Row],[Date]],Quarters[],3,TRUE)</f>
        <v>Q2 2020</v>
      </c>
    </row>
    <row r="131" spans="1:9" x14ac:dyDescent="0.2">
      <c r="A131" s="2" t="s">
        <v>6</v>
      </c>
      <c r="B131" s="10">
        <v>43982</v>
      </c>
      <c r="C131" s="5">
        <v>247</v>
      </c>
      <c r="D131" s="1">
        <f>LEN(VolumebyClient[[#This Row],[CLID]])</f>
        <v>7</v>
      </c>
      <c r="F131" s="1" t="str">
        <f>INDEX(GeobyClient[GEOID],MATCH(VolumebyClient[[#This Row],[CLID]],GeobyClient[Right],0))</f>
        <v>GEO1004</v>
      </c>
      <c r="G131" s="1" t="str">
        <f>VLOOKUP(VolumebyClient[[#This Row],[Index Match Region ID]],GEONames[[GEOID]:[GEO NAME]],2,FALSE)</f>
        <v>LATAM</v>
      </c>
      <c r="H131" s="1" t="str">
        <f>"Q"&amp;ROUNDUP(MONTH(VolumebyClient[[#This Row],[Date]])/3,0)&amp;" "&amp;YEAR(VolumebyClient[[#This Row],[Date]])</f>
        <v>Q2 2020</v>
      </c>
      <c r="I131" s="1" t="str">
        <f>VLOOKUP(VolumebyClient[[#This Row],[Date]],Quarters[],3,TRUE)</f>
        <v>Q2 2020</v>
      </c>
    </row>
    <row r="132" spans="1:9" x14ac:dyDescent="0.2">
      <c r="A132" s="2" t="s">
        <v>6</v>
      </c>
      <c r="B132" s="10">
        <v>44012</v>
      </c>
      <c r="C132" s="5">
        <v>142</v>
      </c>
      <c r="D132" s="1">
        <f>LEN(VolumebyClient[[#This Row],[CLID]])</f>
        <v>7</v>
      </c>
      <c r="F132" s="1" t="str">
        <f>INDEX(GeobyClient[GEOID],MATCH(VolumebyClient[[#This Row],[CLID]],GeobyClient[Right],0))</f>
        <v>GEO1004</v>
      </c>
      <c r="G132" s="1" t="str">
        <f>VLOOKUP(VolumebyClient[[#This Row],[Index Match Region ID]],GEONames[[GEOID]:[GEO NAME]],2,FALSE)</f>
        <v>LATAM</v>
      </c>
      <c r="H132" s="1" t="str">
        <f>"Q"&amp;ROUNDUP(MONTH(VolumebyClient[[#This Row],[Date]])/3,0)&amp;" "&amp;YEAR(VolumebyClient[[#This Row],[Date]])</f>
        <v>Q2 2020</v>
      </c>
      <c r="I132" s="1" t="str">
        <f>VLOOKUP(VolumebyClient[[#This Row],[Date]],Quarters[],3,TRUE)</f>
        <v>Q2 2020</v>
      </c>
    </row>
    <row r="133" spans="1:9" x14ac:dyDescent="0.2">
      <c r="A133" s="2" t="s">
        <v>6</v>
      </c>
      <c r="B133" s="10">
        <v>44043</v>
      </c>
      <c r="C133" s="5">
        <v>163</v>
      </c>
      <c r="D133" s="1">
        <f>LEN(VolumebyClient[[#This Row],[CLID]])</f>
        <v>7</v>
      </c>
      <c r="F133" s="1" t="str">
        <f>INDEX(GeobyClient[GEOID],MATCH(VolumebyClient[[#This Row],[CLID]],GeobyClient[Right],0))</f>
        <v>GEO1004</v>
      </c>
      <c r="G133" s="1" t="str">
        <f>VLOOKUP(VolumebyClient[[#This Row],[Index Match Region ID]],GEONames[[GEOID]:[GEO NAME]],2,FALSE)</f>
        <v>LATAM</v>
      </c>
      <c r="H133" s="1" t="str">
        <f>"Q"&amp;ROUNDUP(MONTH(VolumebyClient[[#This Row],[Date]])/3,0)&amp;" "&amp;YEAR(VolumebyClient[[#This Row],[Date]])</f>
        <v>Q3 2020</v>
      </c>
      <c r="I133" s="1" t="str">
        <f>VLOOKUP(VolumebyClient[[#This Row],[Date]],Quarters[],3,TRUE)</f>
        <v>Q3 2020</v>
      </c>
    </row>
    <row r="134" spans="1:9" x14ac:dyDescent="0.2">
      <c r="A134" s="2" t="s">
        <v>6</v>
      </c>
      <c r="B134" s="10">
        <v>44074</v>
      </c>
      <c r="C134" s="5">
        <v>101</v>
      </c>
      <c r="D134" s="1">
        <f>LEN(VolumebyClient[[#This Row],[CLID]])</f>
        <v>7</v>
      </c>
      <c r="F134" s="1" t="str">
        <f>INDEX(GeobyClient[GEOID],MATCH(VolumebyClient[[#This Row],[CLID]],GeobyClient[Right],0))</f>
        <v>GEO1004</v>
      </c>
      <c r="G134" s="1" t="str">
        <f>VLOOKUP(VolumebyClient[[#This Row],[Index Match Region ID]],GEONames[[GEOID]:[GEO NAME]],2,FALSE)</f>
        <v>LATAM</v>
      </c>
      <c r="H134" s="1" t="str">
        <f>"Q"&amp;ROUNDUP(MONTH(VolumebyClient[[#This Row],[Date]])/3,0)&amp;" "&amp;YEAR(VolumebyClient[[#This Row],[Date]])</f>
        <v>Q3 2020</v>
      </c>
      <c r="I134" s="1" t="str">
        <f>VLOOKUP(VolumebyClient[[#This Row],[Date]],Quarters[],3,TRUE)</f>
        <v>Q3 2020</v>
      </c>
    </row>
    <row r="135" spans="1:9" x14ac:dyDescent="0.2">
      <c r="A135" s="2" t="s">
        <v>6</v>
      </c>
      <c r="B135" s="10">
        <v>44104</v>
      </c>
      <c r="C135" s="5">
        <v>142</v>
      </c>
      <c r="D135" s="1">
        <f>LEN(VolumebyClient[[#This Row],[CLID]])</f>
        <v>7</v>
      </c>
      <c r="F135" s="1" t="str">
        <f>INDEX(GeobyClient[GEOID],MATCH(VolumebyClient[[#This Row],[CLID]],GeobyClient[Right],0))</f>
        <v>GEO1004</v>
      </c>
      <c r="G135" s="1" t="str">
        <f>VLOOKUP(VolumebyClient[[#This Row],[Index Match Region ID]],GEONames[[GEOID]:[GEO NAME]],2,FALSE)</f>
        <v>LATAM</v>
      </c>
      <c r="H135" s="1" t="str">
        <f>"Q"&amp;ROUNDUP(MONTH(VolumebyClient[[#This Row],[Date]])/3,0)&amp;" "&amp;YEAR(VolumebyClient[[#This Row],[Date]])</f>
        <v>Q3 2020</v>
      </c>
      <c r="I135" s="1" t="str">
        <f>VLOOKUP(VolumebyClient[[#This Row],[Date]],Quarters[],3,TRUE)</f>
        <v>Q3 2020</v>
      </c>
    </row>
    <row r="136" spans="1:9" x14ac:dyDescent="0.2">
      <c r="A136" s="2" t="s">
        <v>6</v>
      </c>
      <c r="B136" s="10">
        <v>44135</v>
      </c>
      <c r="C136" s="5">
        <v>123</v>
      </c>
      <c r="D136" s="1">
        <f>LEN(VolumebyClient[[#This Row],[CLID]])</f>
        <v>7</v>
      </c>
      <c r="F136" s="1" t="str">
        <f>INDEX(GeobyClient[GEOID],MATCH(VolumebyClient[[#This Row],[CLID]],GeobyClient[Right],0))</f>
        <v>GEO1004</v>
      </c>
      <c r="G136" s="1" t="str">
        <f>VLOOKUP(VolumebyClient[[#This Row],[Index Match Region ID]],GEONames[[GEOID]:[GEO NAME]],2,FALSE)</f>
        <v>LATAM</v>
      </c>
      <c r="H136" s="1" t="str">
        <f>"Q"&amp;ROUNDUP(MONTH(VolumebyClient[[#This Row],[Date]])/3,0)&amp;" "&amp;YEAR(VolumebyClient[[#This Row],[Date]])</f>
        <v>Q4 2020</v>
      </c>
      <c r="I136" s="1" t="str">
        <f>VLOOKUP(VolumebyClient[[#This Row],[Date]],Quarters[],3,TRUE)</f>
        <v>Q4 2020</v>
      </c>
    </row>
    <row r="137" spans="1:9" x14ac:dyDescent="0.2">
      <c r="A137" s="2" t="s">
        <v>6</v>
      </c>
      <c r="B137" s="10">
        <v>44165</v>
      </c>
      <c r="C137" s="5">
        <v>183</v>
      </c>
      <c r="D137" s="1">
        <f>LEN(VolumebyClient[[#This Row],[CLID]])</f>
        <v>7</v>
      </c>
      <c r="F137" s="1" t="str">
        <f>INDEX(GeobyClient[GEOID],MATCH(VolumebyClient[[#This Row],[CLID]],GeobyClient[Right],0))</f>
        <v>GEO1004</v>
      </c>
      <c r="G137" s="1" t="str">
        <f>VLOOKUP(VolumebyClient[[#This Row],[Index Match Region ID]],GEONames[[GEOID]:[GEO NAME]],2,FALSE)</f>
        <v>LATAM</v>
      </c>
      <c r="H137" s="1" t="str">
        <f>"Q"&amp;ROUNDUP(MONTH(VolumebyClient[[#This Row],[Date]])/3,0)&amp;" "&amp;YEAR(VolumebyClient[[#This Row],[Date]])</f>
        <v>Q4 2020</v>
      </c>
      <c r="I137" s="1" t="str">
        <f>VLOOKUP(VolumebyClient[[#This Row],[Date]],Quarters[],3,TRUE)</f>
        <v>Q4 2020</v>
      </c>
    </row>
    <row r="138" spans="1:9" x14ac:dyDescent="0.2">
      <c r="A138" s="2" t="s">
        <v>6</v>
      </c>
      <c r="B138" s="10">
        <v>44196</v>
      </c>
      <c r="C138" s="5">
        <v>144</v>
      </c>
      <c r="D138" s="1">
        <f>LEN(VolumebyClient[[#This Row],[CLID]])</f>
        <v>7</v>
      </c>
      <c r="F138" s="1" t="str">
        <f>INDEX(GeobyClient[GEOID],MATCH(VolumebyClient[[#This Row],[CLID]],GeobyClient[Right],0))</f>
        <v>GEO1004</v>
      </c>
      <c r="G138" s="1" t="str">
        <f>VLOOKUP(VolumebyClient[[#This Row],[Index Match Region ID]],GEONames[[GEOID]:[GEO NAME]],2,FALSE)</f>
        <v>LATAM</v>
      </c>
      <c r="H138" s="1" t="str">
        <f>"Q"&amp;ROUNDUP(MONTH(VolumebyClient[[#This Row],[Date]])/3,0)&amp;" "&amp;YEAR(VolumebyClient[[#This Row],[Date]])</f>
        <v>Q4 2020</v>
      </c>
      <c r="I138" s="1" t="str">
        <f>VLOOKUP(VolumebyClient[[#This Row],[Date]],Quarters[],3,TRUE)</f>
        <v>Q4 2020</v>
      </c>
    </row>
    <row r="139" spans="1:9" x14ac:dyDescent="0.2">
      <c r="A139" s="2" t="s">
        <v>6</v>
      </c>
      <c r="B139" s="10">
        <v>44377</v>
      </c>
      <c r="C139" s="5">
        <v>145</v>
      </c>
      <c r="D139" s="1">
        <f>LEN(VolumebyClient[[#This Row],[CLID]])</f>
        <v>7</v>
      </c>
      <c r="F139" s="1" t="str">
        <f>INDEX(GeobyClient[GEOID],MATCH(VolumebyClient[[#This Row],[CLID]],GeobyClient[Right],0))</f>
        <v>GEO1004</v>
      </c>
      <c r="G139" s="1" t="str">
        <f>VLOOKUP(VolumebyClient[[#This Row],[Index Match Region ID]],GEONames[[GEOID]:[GEO NAME]],2,FALSE)</f>
        <v>LATAM</v>
      </c>
      <c r="H139" s="1" t="str">
        <f>"Q"&amp;ROUNDUP(MONTH(VolumebyClient[[#This Row],[Date]])/3,0)&amp;" "&amp;YEAR(VolumebyClient[[#This Row],[Date]])</f>
        <v>Q2 2021</v>
      </c>
      <c r="I139" s="1" t="str">
        <f>VLOOKUP(VolumebyClient[[#This Row],[Date]],Quarters[],3,TRUE)</f>
        <v>Q2 2021</v>
      </c>
    </row>
    <row r="140" spans="1:9" x14ac:dyDescent="0.2">
      <c r="A140" s="2" t="s">
        <v>6</v>
      </c>
      <c r="B140" s="10">
        <v>44347</v>
      </c>
      <c r="C140" s="5">
        <v>244</v>
      </c>
      <c r="D140" s="1">
        <f>LEN(VolumebyClient[[#This Row],[CLID]])</f>
        <v>7</v>
      </c>
      <c r="F140" s="1" t="str">
        <f>INDEX(GeobyClient[GEOID],MATCH(VolumebyClient[[#This Row],[CLID]],GeobyClient[Right],0))</f>
        <v>GEO1004</v>
      </c>
      <c r="G140" s="1" t="str">
        <f>VLOOKUP(VolumebyClient[[#This Row],[Index Match Region ID]],GEONames[[GEOID]:[GEO NAME]],2,FALSE)</f>
        <v>LATAM</v>
      </c>
      <c r="H140" s="1" t="str">
        <f>"Q"&amp;ROUNDUP(MONTH(VolumebyClient[[#This Row],[Date]])/3,0)&amp;" "&amp;YEAR(VolumebyClient[[#This Row],[Date]])</f>
        <v>Q2 2021</v>
      </c>
      <c r="I140" s="1" t="str">
        <f>VLOOKUP(VolumebyClient[[#This Row],[Date]],Quarters[],3,TRUE)</f>
        <v>Q2 2021</v>
      </c>
    </row>
    <row r="141" spans="1:9" x14ac:dyDescent="0.2">
      <c r="A141" s="2" t="s">
        <v>6</v>
      </c>
      <c r="B141" s="10">
        <v>44316</v>
      </c>
      <c r="C141" s="5">
        <v>226</v>
      </c>
      <c r="D141" s="1">
        <f>LEN(VolumebyClient[[#This Row],[CLID]])</f>
        <v>7</v>
      </c>
      <c r="F141" s="1" t="str">
        <f>INDEX(GeobyClient[GEOID],MATCH(VolumebyClient[[#This Row],[CLID]],GeobyClient[Right],0))</f>
        <v>GEO1004</v>
      </c>
      <c r="G141" s="1" t="str">
        <f>VLOOKUP(VolumebyClient[[#This Row],[Index Match Region ID]],GEONames[[GEOID]:[GEO NAME]],2,FALSE)</f>
        <v>LATAM</v>
      </c>
      <c r="H141" s="1" t="str">
        <f>"Q"&amp;ROUNDUP(MONTH(VolumebyClient[[#This Row],[Date]])/3,0)&amp;" "&amp;YEAR(VolumebyClient[[#This Row],[Date]])</f>
        <v>Q2 2021</v>
      </c>
      <c r="I141" s="1" t="str">
        <f>VLOOKUP(VolumebyClient[[#This Row],[Date]],Quarters[],3,TRUE)</f>
        <v>Q2 2021</v>
      </c>
    </row>
    <row r="142" spans="1:9" x14ac:dyDescent="0.2">
      <c r="A142" s="2" t="s">
        <v>6</v>
      </c>
      <c r="B142" s="10">
        <v>44286</v>
      </c>
      <c r="C142" s="5">
        <v>227</v>
      </c>
      <c r="D142" s="1">
        <f>LEN(VolumebyClient[[#This Row],[CLID]])</f>
        <v>7</v>
      </c>
      <c r="F142" s="1" t="str">
        <f>INDEX(GeobyClient[GEOID],MATCH(VolumebyClient[[#This Row],[CLID]],GeobyClient[Right],0))</f>
        <v>GEO1004</v>
      </c>
      <c r="G142" s="1" t="str">
        <f>VLOOKUP(VolumebyClient[[#This Row],[Index Match Region ID]],GEONames[[GEOID]:[GEO NAME]],2,FALSE)</f>
        <v>LATAM</v>
      </c>
      <c r="H142" s="1" t="str">
        <f>"Q"&amp;ROUNDUP(MONTH(VolumebyClient[[#This Row],[Date]])/3,0)&amp;" "&amp;YEAR(VolumebyClient[[#This Row],[Date]])</f>
        <v>Q1 2021</v>
      </c>
      <c r="I142" s="1" t="str">
        <f>VLOOKUP(VolumebyClient[[#This Row],[Date]],Quarters[],3,TRUE)</f>
        <v>Q1 2021</v>
      </c>
    </row>
    <row r="143" spans="1:9" x14ac:dyDescent="0.2">
      <c r="A143" s="2" t="s">
        <v>6</v>
      </c>
      <c r="B143" s="10">
        <v>44255</v>
      </c>
      <c r="C143" s="5">
        <v>172</v>
      </c>
      <c r="D143" s="1">
        <f>LEN(VolumebyClient[[#This Row],[CLID]])</f>
        <v>7</v>
      </c>
      <c r="F143" s="1" t="str">
        <f>INDEX(GeobyClient[GEOID],MATCH(VolumebyClient[[#This Row],[CLID]],GeobyClient[Right],0))</f>
        <v>GEO1004</v>
      </c>
      <c r="G143" s="1" t="str">
        <f>VLOOKUP(VolumebyClient[[#This Row],[Index Match Region ID]],GEONames[[GEOID]:[GEO NAME]],2,FALSE)</f>
        <v>LATAM</v>
      </c>
      <c r="H143" s="1" t="str">
        <f>"Q"&amp;ROUNDUP(MONTH(VolumebyClient[[#This Row],[Date]])/3,0)&amp;" "&amp;YEAR(VolumebyClient[[#This Row],[Date]])</f>
        <v>Q1 2021</v>
      </c>
      <c r="I143" s="1" t="str">
        <f>VLOOKUP(VolumebyClient[[#This Row],[Date]],Quarters[],3,TRUE)</f>
        <v>Q1 2021</v>
      </c>
    </row>
    <row r="144" spans="1:9" x14ac:dyDescent="0.2">
      <c r="A144" s="2" t="s">
        <v>6</v>
      </c>
      <c r="B144" s="10">
        <v>44227</v>
      </c>
      <c r="C144" s="5">
        <v>190</v>
      </c>
      <c r="D144" s="1">
        <f>LEN(VolumebyClient[[#This Row],[CLID]])</f>
        <v>7</v>
      </c>
      <c r="F144" s="1" t="str">
        <f>INDEX(GeobyClient[GEOID],MATCH(VolumebyClient[[#This Row],[CLID]],GeobyClient[Right],0))</f>
        <v>GEO1004</v>
      </c>
      <c r="G144" s="1" t="str">
        <f>VLOOKUP(VolumebyClient[[#This Row],[Index Match Region ID]],GEONames[[GEOID]:[GEO NAME]],2,FALSE)</f>
        <v>LATAM</v>
      </c>
      <c r="H144" s="1" t="str">
        <f>"Q"&amp;ROUNDUP(MONTH(VolumebyClient[[#This Row],[Date]])/3,0)&amp;" "&amp;YEAR(VolumebyClient[[#This Row],[Date]])</f>
        <v>Q1 2021</v>
      </c>
      <c r="I144" s="1" t="str">
        <f>VLOOKUP(VolumebyClient[[#This Row],[Date]],Quarters[],3,TRUE)</f>
        <v>Q1 2021</v>
      </c>
    </row>
    <row r="145" spans="1:9" x14ac:dyDescent="0.2">
      <c r="A145" s="2" t="s">
        <v>15</v>
      </c>
      <c r="B145" s="10">
        <v>43861</v>
      </c>
      <c r="C145" s="5">
        <v>391</v>
      </c>
      <c r="D145" s="1">
        <f>LEN(VolumebyClient[[#This Row],[CLID]])</f>
        <v>7</v>
      </c>
      <c r="F145" s="1" t="str">
        <f>INDEX(GeobyClient[GEOID],MATCH(VolumebyClient[[#This Row],[CLID]],GeobyClient[Right],0))</f>
        <v>GEO1003</v>
      </c>
      <c r="G145" s="1" t="str">
        <f>VLOOKUP(VolumebyClient[[#This Row],[Index Match Region ID]],GEONames[[GEOID]:[GEO NAME]],2,FALSE)</f>
        <v>EMEA</v>
      </c>
      <c r="H145" s="1" t="str">
        <f>"Q"&amp;ROUNDUP(MONTH(VolumebyClient[[#This Row],[Date]])/3,0)&amp;" "&amp;YEAR(VolumebyClient[[#This Row],[Date]])</f>
        <v>Q1 2020</v>
      </c>
      <c r="I145" s="1" t="str">
        <f>VLOOKUP(VolumebyClient[[#This Row],[Date]],Quarters[],3,TRUE)</f>
        <v>Q1 2020</v>
      </c>
    </row>
    <row r="146" spans="1:9" x14ac:dyDescent="0.2">
      <c r="A146" s="2" t="s">
        <v>15</v>
      </c>
      <c r="B146" s="10">
        <v>43890</v>
      </c>
      <c r="C146" s="5">
        <v>553</v>
      </c>
      <c r="D146" s="1">
        <f>LEN(VolumebyClient[[#This Row],[CLID]])</f>
        <v>7</v>
      </c>
      <c r="F146" s="1" t="str">
        <f>INDEX(GeobyClient[GEOID],MATCH(VolumebyClient[[#This Row],[CLID]],GeobyClient[Right],0))</f>
        <v>GEO1003</v>
      </c>
      <c r="G146" s="1" t="str">
        <f>VLOOKUP(VolumebyClient[[#This Row],[Index Match Region ID]],GEONames[[GEOID]:[GEO NAME]],2,FALSE)</f>
        <v>EMEA</v>
      </c>
      <c r="H146" s="1" t="str">
        <f>"Q"&amp;ROUNDUP(MONTH(VolumebyClient[[#This Row],[Date]])/3,0)&amp;" "&amp;YEAR(VolumebyClient[[#This Row],[Date]])</f>
        <v>Q1 2020</v>
      </c>
      <c r="I146" s="1" t="str">
        <f>VLOOKUP(VolumebyClient[[#This Row],[Date]],Quarters[],3,TRUE)</f>
        <v>Q1 2020</v>
      </c>
    </row>
    <row r="147" spans="1:9" x14ac:dyDescent="0.2">
      <c r="A147" s="2" t="s">
        <v>15</v>
      </c>
      <c r="B147" s="10">
        <v>43921</v>
      </c>
      <c r="C147" s="5">
        <v>498</v>
      </c>
      <c r="D147" s="1">
        <f>LEN(VolumebyClient[[#This Row],[CLID]])</f>
        <v>7</v>
      </c>
      <c r="F147" s="1" t="str">
        <f>INDEX(GeobyClient[GEOID],MATCH(VolumebyClient[[#This Row],[CLID]],GeobyClient[Right],0))</f>
        <v>GEO1003</v>
      </c>
      <c r="G147" s="1" t="str">
        <f>VLOOKUP(VolumebyClient[[#This Row],[Index Match Region ID]],GEONames[[GEOID]:[GEO NAME]],2,FALSE)</f>
        <v>EMEA</v>
      </c>
      <c r="H147" s="1" t="str">
        <f>"Q"&amp;ROUNDUP(MONTH(VolumebyClient[[#This Row],[Date]])/3,0)&amp;" "&amp;YEAR(VolumebyClient[[#This Row],[Date]])</f>
        <v>Q1 2020</v>
      </c>
      <c r="I147" s="1" t="str">
        <f>VLOOKUP(VolumebyClient[[#This Row],[Date]],Quarters[],3,TRUE)</f>
        <v>Q1 2020</v>
      </c>
    </row>
    <row r="148" spans="1:9" x14ac:dyDescent="0.2">
      <c r="A148" s="2" t="s">
        <v>15</v>
      </c>
      <c r="B148" s="10">
        <v>43951</v>
      </c>
      <c r="C148" s="5">
        <v>719</v>
      </c>
      <c r="D148" s="1">
        <f>LEN(VolumebyClient[[#This Row],[CLID]])</f>
        <v>7</v>
      </c>
      <c r="F148" s="1" t="str">
        <f>INDEX(GeobyClient[GEOID],MATCH(VolumebyClient[[#This Row],[CLID]],GeobyClient[Right],0))</f>
        <v>GEO1003</v>
      </c>
      <c r="G148" s="1" t="str">
        <f>VLOOKUP(VolumebyClient[[#This Row],[Index Match Region ID]],GEONames[[GEOID]:[GEO NAME]],2,FALSE)</f>
        <v>EMEA</v>
      </c>
      <c r="H148" s="1" t="str">
        <f>"Q"&amp;ROUNDUP(MONTH(VolumebyClient[[#This Row],[Date]])/3,0)&amp;" "&amp;YEAR(VolumebyClient[[#This Row],[Date]])</f>
        <v>Q2 2020</v>
      </c>
      <c r="I148" s="1" t="str">
        <f>VLOOKUP(VolumebyClient[[#This Row],[Date]],Quarters[],3,TRUE)</f>
        <v>Q2 2020</v>
      </c>
    </row>
    <row r="149" spans="1:9" x14ac:dyDescent="0.2">
      <c r="A149" s="2" t="s">
        <v>15</v>
      </c>
      <c r="B149" s="10">
        <v>43982</v>
      </c>
      <c r="C149" s="5">
        <v>555</v>
      </c>
      <c r="D149" s="1">
        <f>LEN(VolumebyClient[[#This Row],[CLID]])</f>
        <v>7</v>
      </c>
      <c r="F149" s="1" t="str">
        <f>INDEX(GeobyClient[GEOID],MATCH(VolumebyClient[[#This Row],[CLID]],GeobyClient[Right],0))</f>
        <v>GEO1003</v>
      </c>
      <c r="G149" s="1" t="str">
        <f>VLOOKUP(VolumebyClient[[#This Row],[Index Match Region ID]],GEONames[[GEOID]:[GEO NAME]],2,FALSE)</f>
        <v>EMEA</v>
      </c>
      <c r="H149" s="1" t="str">
        <f>"Q"&amp;ROUNDUP(MONTH(VolumebyClient[[#This Row],[Date]])/3,0)&amp;" "&amp;YEAR(VolumebyClient[[#This Row],[Date]])</f>
        <v>Q2 2020</v>
      </c>
      <c r="I149" s="1" t="str">
        <f>VLOOKUP(VolumebyClient[[#This Row],[Date]],Quarters[],3,TRUE)</f>
        <v>Q2 2020</v>
      </c>
    </row>
    <row r="150" spans="1:9" x14ac:dyDescent="0.2">
      <c r="A150" s="2" t="s">
        <v>15</v>
      </c>
      <c r="B150" s="10">
        <v>44012</v>
      </c>
      <c r="C150" s="5">
        <v>499</v>
      </c>
      <c r="D150" s="1">
        <f>LEN(VolumebyClient[[#This Row],[CLID]])</f>
        <v>7</v>
      </c>
      <c r="F150" s="1" t="str">
        <f>INDEX(GeobyClient[GEOID],MATCH(VolumebyClient[[#This Row],[CLID]],GeobyClient[Right],0))</f>
        <v>GEO1003</v>
      </c>
      <c r="G150" s="1" t="str">
        <f>VLOOKUP(VolumebyClient[[#This Row],[Index Match Region ID]],GEONames[[GEOID]:[GEO NAME]],2,FALSE)</f>
        <v>EMEA</v>
      </c>
      <c r="H150" s="1" t="str">
        <f>"Q"&amp;ROUNDUP(MONTH(VolumebyClient[[#This Row],[Date]])/3,0)&amp;" "&amp;YEAR(VolumebyClient[[#This Row],[Date]])</f>
        <v>Q2 2020</v>
      </c>
      <c r="I150" s="1" t="str">
        <f>VLOOKUP(VolumebyClient[[#This Row],[Date]],Quarters[],3,TRUE)</f>
        <v>Q2 2020</v>
      </c>
    </row>
    <row r="151" spans="1:9" x14ac:dyDescent="0.2">
      <c r="A151" s="2" t="s">
        <v>15</v>
      </c>
      <c r="B151" s="10">
        <v>44043</v>
      </c>
      <c r="C151" s="5">
        <v>338</v>
      </c>
      <c r="D151" s="1">
        <f>LEN(VolumebyClient[[#This Row],[CLID]])</f>
        <v>7</v>
      </c>
      <c r="F151" s="1" t="str">
        <f>INDEX(GeobyClient[GEOID],MATCH(VolumebyClient[[#This Row],[CLID]],GeobyClient[Right],0))</f>
        <v>GEO1003</v>
      </c>
      <c r="G151" s="1" t="str">
        <f>VLOOKUP(VolumebyClient[[#This Row],[Index Match Region ID]],GEONames[[GEOID]:[GEO NAME]],2,FALSE)</f>
        <v>EMEA</v>
      </c>
      <c r="H151" s="1" t="str">
        <f>"Q"&amp;ROUNDUP(MONTH(VolumebyClient[[#This Row],[Date]])/3,0)&amp;" "&amp;YEAR(VolumebyClient[[#This Row],[Date]])</f>
        <v>Q3 2020</v>
      </c>
      <c r="I151" s="1" t="str">
        <f>VLOOKUP(VolumebyClient[[#This Row],[Date]],Quarters[],3,TRUE)</f>
        <v>Q3 2020</v>
      </c>
    </row>
    <row r="152" spans="1:9" x14ac:dyDescent="0.2">
      <c r="A152" s="2" t="s">
        <v>15</v>
      </c>
      <c r="B152" s="10">
        <v>44074</v>
      </c>
      <c r="C152" s="5">
        <v>391</v>
      </c>
      <c r="D152" s="1">
        <f>LEN(VolumebyClient[[#This Row],[CLID]])</f>
        <v>7</v>
      </c>
      <c r="F152" s="1" t="str">
        <f>INDEX(GeobyClient[GEOID],MATCH(VolumebyClient[[#This Row],[CLID]],GeobyClient[Right],0))</f>
        <v>GEO1003</v>
      </c>
      <c r="G152" s="1" t="str">
        <f>VLOOKUP(VolumebyClient[[#This Row],[Index Match Region ID]],GEONames[[GEOID]:[GEO NAME]],2,FALSE)</f>
        <v>EMEA</v>
      </c>
      <c r="H152" s="1" t="str">
        <f>"Q"&amp;ROUNDUP(MONTH(VolumebyClient[[#This Row],[Date]])/3,0)&amp;" "&amp;YEAR(VolumebyClient[[#This Row],[Date]])</f>
        <v>Q3 2020</v>
      </c>
      <c r="I152" s="1" t="str">
        <f>VLOOKUP(VolumebyClient[[#This Row],[Date]],Quarters[],3,TRUE)</f>
        <v>Q3 2020</v>
      </c>
    </row>
    <row r="153" spans="1:9" x14ac:dyDescent="0.2">
      <c r="A153" s="2" t="s">
        <v>15</v>
      </c>
      <c r="B153" s="10">
        <v>44104</v>
      </c>
      <c r="C153" s="5">
        <v>279</v>
      </c>
      <c r="D153" s="1">
        <f>LEN(VolumebyClient[[#This Row],[CLID]])</f>
        <v>7</v>
      </c>
      <c r="F153" s="1" t="str">
        <f>INDEX(GeobyClient[GEOID],MATCH(VolumebyClient[[#This Row],[CLID]],GeobyClient[Right],0))</f>
        <v>GEO1003</v>
      </c>
      <c r="G153" s="1" t="str">
        <f>VLOOKUP(VolumebyClient[[#This Row],[Index Match Region ID]],GEONames[[GEOID]:[GEO NAME]],2,FALSE)</f>
        <v>EMEA</v>
      </c>
      <c r="H153" s="1" t="str">
        <f>"Q"&amp;ROUNDUP(MONTH(VolumebyClient[[#This Row],[Date]])/3,0)&amp;" "&amp;YEAR(VolumebyClient[[#This Row],[Date]])</f>
        <v>Q3 2020</v>
      </c>
      <c r="I153" s="1" t="str">
        <f>VLOOKUP(VolumebyClient[[#This Row],[Date]],Quarters[],3,TRUE)</f>
        <v>Q3 2020</v>
      </c>
    </row>
    <row r="154" spans="1:9" x14ac:dyDescent="0.2">
      <c r="A154" s="2" t="s">
        <v>15</v>
      </c>
      <c r="B154" s="10">
        <v>44135</v>
      </c>
      <c r="C154" s="5">
        <v>447</v>
      </c>
      <c r="D154" s="1">
        <f>LEN(VolumebyClient[[#This Row],[CLID]])</f>
        <v>7</v>
      </c>
      <c r="F154" s="1" t="str">
        <f>INDEX(GeobyClient[GEOID],MATCH(VolumebyClient[[#This Row],[CLID]],GeobyClient[Right],0))</f>
        <v>GEO1003</v>
      </c>
      <c r="G154" s="1" t="str">
        <f>VLOOKUP(VolumebyClient[[#This Row],[Index Match Region ID]],GEONames[[GEOID]:[GEO NAME]],2,FALSE)</f>
        <v>EMEA</v>
      </c>
      <c r="H154" s="1" t="str">
        <f>"Q"&amp;ROUNDUP(MONTH(VolumebyClient[[#This Row],[Date]])/3,0)&amp;" "&amp;YEAR(VolumebyClient[[#This Row],[Date]])</f>
        <v>Q4 2020</v>
      </c>
      <c r="I154" s="1" t="str">
        <f>VLOOKUP(VolumebyClient[[#This Row],[Date]],Quarters[],3,TRUE)</f>
        <v>Q4 2020</v>
      </c>
    </row>
    <row r="155" spans="1:9" x14ac:dyDescent="0.2">
      <c r="A155" s="2" t="s">
        <v>15</v>
      </c>
      <c r="B155" s="10">
        <v>44165</v>
      </c>
      <c r="C155" s="5">
        <v>390</v>
      </c>
      <c r="D155" s="1">
        <f>LEN(VolumebyClient[[#This Row],[CLID]])</f>
        <v>7</v>
      </c>
      <c r="F155" s="1" t="str">
        <f>INDEX(GeobyClient[GEOID],MATCH(VolumebyClient[[#This Row],[CLID]],GeobyClient[Right],0))</f>
        <v>GEO1003</v>
      </c>
      <c r="G155" s="1" t="str">
        <f>VLOOKUP(VolumebyClient[[#This Row],[Index Match Region ID]],GEONames[[GEOID]:[GEO NAME]],2,FALSE)</f>
        <v>EMEA</v>
      </c>
      <c r="H155" s="1" t="str">
        <f>"Q"&amp;ROUNDUP(MONTH(VolumebyClient[[#This Row],[Date]])/3,0)&amp;" "&amp;YEAR(VolumebyClient[[#This Row],[Date]])</f>
        <v>Q4 2020</v>
      </c>
      <c r="I155" s="1" t="str">
        <f>VLOOKUP(VolumebyClient[[#This Row],[Date]],Quarters[],3,TRUE)</f>
        <v>Q4 2020</v>
      </c>
    </row>
    <row r="156" spans="1:9" x14ac:dyDescent="0.2">
      <c r="A156" s="2" t="s">
        <v>15</v>
      </c>
      <c r="B156" s="10">
        <v>44196</v>
      </c>
      <c r="C156" s="5">
        <v>500</v>
      </c>
      <c r="D156" s="1">
        <f>LEN(VolumebyClient[[#This Row],[CLID]])</f>
        <v>7</v>
      </c>
      <c r="F156" s="1" t="str">
        <f>INDEX(GeobyClient[GEOID],MATCH(VolumebyClient[[#This Row],[CLID]],GeobyClient[Right],0))</f>
        <v>GEO1003</v>
      </c>
      <c r="G156" s="1" t="str">
        <f>VLOOKUP(VolumebyClient[[#This Row],[Index Match Region ID]],GEONames[[GEOID]:[GEO NAME]],2,FALSE)</f>
        <v>EMEA</v>
      </c>
      <c r="H156" s="1" t="str">
        <f>"Q"&amp;ROUNDUP(MONTH(VolumebyClient[[#This Row],[Date]])/3,0)&amp;" "&amp;YEAR(VolumebyClient[[#This Row],[Date]])</f>
        <v>Q4 2020</v>
      </c>
      <c r="I156" s="1" t="str">
        <f>VLOOKUP(VolumebyClient[[#This Row],[Date]],Quarters[],3,TRUE)</f>
        <v>Q4 2020</v>
      </c>
    </row>
    <row r="157" spans="1:9" x14ac:dyDescent="0.2">
      <c r="A157" s="2" t="s">
        <v>15</v>
      </c>
      <c r="B157" s="10">
        <v>44377</v>
      </c>
      <c r="C157" s="5">
        <v>505</v>
      </c>
      <c r="D157" s="1">
        <f>LEN(VolumebyClient[[#This Row],[CLID]])</f>
        <v>7</v>
      </c>
      <c r="F157" s="1" t="str">
        <f>INDEX(GeobyClient[GEOID],MATCH(VolumebyClient[[#This Row],[CLID]],GeobyClient[Right],0))</f>
        <v>GEO1003</v>
      </c>
      <c r="G157" s="1" t="str">
        <f>VLOOKUP(VolumebyClient[[#This Row],[Index Match Region ID]],GEONames[[GEOID]:[GEO NAME]],2,FALSE)</f>
        <v>EMEA</v>
      </c>
      <c r="H157" s="1" t="str">
        <f>"Q"&amp;ROUNDUP(MONTH(VolumebyClient[[#This Row],[Date]])/3,0)&amp;" "&amp;YEAR(VolumebyClient[[#This Row],[Date]])</f>
        <v>Q2 2021</v>
      </c>
      <c r="I157" s="1" t="str">
        <f>VLOOKUP(VolumebyClient[[#This Row],[Date]],Quarters[],3,TRUE)</f>
        <v>Q2 2021</v>
      </c>
    </row>
    <row r="158" spans="1:9" x14ac:dyDescent="0.2">
      <c r="A158" s="2" t="s">
        <v>15</v>
      </c>
      <c r="B158" s="10">
        <v>44347</v>
      </c>
      <c r="C158" s="5">
        <v>574</v>
      </c>
      <c r="D158" s="1">
        <f>LEN(VolumebyClient[[#This Row],[CLID]])</f>
        <v>7</v>
      </c>
      <c r="F158" s="1" t="str">
        <f>INDEX(GeobyClient[GEOID],MATCH(VolumebyClient[[#This Row],[CLID]],GeobyClient[Right],0))</f>
        <v>GEO1003</v>
      </c>
      <c r="G158" s="1" t="str">
        <f>VLOOKUP(VolumebyClient[[#This Row],[Index Match Region ID]],GEONames[[GEOID]:[GEO NAME]],2,FALSE)</f>
        <v>EMEA</v>
      </c>
      <c r="H158" s="1" t="str">
        <f>"Q"&amp;ROUNDUP(MONTH(VolumebyClient[[#This Row],[Date]])/3,0)&amp;" "&amp;YEAR(VolumebyClient[[#This Row],[Date]])</f>
        <v>Q2 2021</v>
      </c>
      <c r="I158" s="1" t="str">
        <f>VLOOKUP(VolumebyClient[[#This Row],[Date]],Quarters[],3,TRUE)</f>
        <v>Q2 2021</v>
      </c>
    </row>
    <row r="159" spans="1:9" x14ac:dyDescent="0.2">
      <c r="A159" s="2" t="s">
        <v>15</v>
      </c>
      <c r="B159" s="10">
        <v>44316</v>
      </c>
      <c r="C159" s="5">
        <v>747</v>
      </c>
      <c r="D159" s="1">
        <f>LEN(VolumebyClient[[#This Row],[CLID]])</f>
        <v>7</v>
      </c>
      <c r="F159" s="1" t="str">
        <f>INDEX(GeobyClient[GEOID],MATCH(VolumebyClient[[#This Row],[CLID]],GeobyClient[Right],0))</f>
        <v>GEO1003</v>
      </c>
      <c r="G159" s="1" t="str">
        <f>VLOOKUP(VolumebyClient[[#This Row],[Index Match Region ID]],GEONames[[GEOID]:[GEO NAME]],2,FALSE)</f>
        <v>EMEA</v>
      </c>
      <c r="H159" s="1" t="str">
        <f>"Q"&amp;ROUNDUP(MONTH(VolumebyClient[[#This Row],[Date]])/3,0)&amp;" "&amp;YEAR(VolumebyClient[[#This Row],[Date]])</f>
        <v>Q2 2021</v>
      </c>
      <c r="I159" s="1" t="str">
        <f>VLOOKUP(VolumebyClient[[#This Row],[Date]],Quarters[],3,TRUE)</f>
        <v>Q2 2021</v>
      </c>
    </row>
    <row r="160" spans="1:9" x14ac:dyDescent="0.2">
      <c r="A160" s="2" t="s">
        <v>15</v>
      </c>
      <c r="B160" s="10">
        <v>44286</v>
      </c>
      <c r="C160" s="5">
        <v>515</v>
      </c>
      <c r="D160" s="1">
        <f>LEN(VolumebyClient[[#This Row],[CLID]])</f>
        <v>7</v>
      </c>
      <c r="F160" s="1" t="str">
        <f>INDEX(GeobyClient[GEOID],MATCH(VolumebyClient[[#This Row],[CLID]],GeobyClient[Right],0))</f>
        <v>GEO1003</v>
      </c>
      <c r="G160" s="1" t="str">
        <f>VLOOKUP(VolumebyClient[[#This Row],[Index Match Region ID]],GEONames[[GEOID]:[GEO NAME]],2,FALSE)</f>
        <v>EMEA</v>
      </c>
      <c r="H160" s="1" t="str">
        <f>"Q"&amp;ROUNDUP(MONTH(VolumebyClient[[#This Row],[Date]])/3,0)&amp;" "&amp;YEAR(VolumebyClient[[#This Row],[Date]])</f>
        <v>Q1 2021</v>
      </c>
      <c r="I160" s="1" t="str">
        <f>VLOOKUP(VolumebyClient[[#This Row],[Date]],Quarters[],3,TRUE)</f>
        <v>Q1 2021</v>
      </c>
    </row>
    <row r="161" spans="1:9" x14ac:dyDescent="0.2">
      <c r="A161" s="2" t="s">
        <v>15</v>
      </c>
      <c r="B161" s="10">
        <v>44255</v>
      </c>
      <c r="C161" s="5">
        <v>564</v>
      </c>
      <c r="D161" s="1">
        <f>LEN(VolumebyClient[[#This Row],[CLID]])</f>
        <v>7</v>
      </c>
      <c r="F161" s="1" t="str">
        <f>INDEX(GeobyClient[GEOID],MATCH(VolumebyClient[[#This Row],[CLID]],GeobyClient[Right],0))</f>
        <v>GEO1003</v>
      </c>
      <c r="G161" s="1" t="str">
        <f>VLOOKUP(VolumebyClient[[#This Row],[Index Match Region ID]],GEONames[[GEOID]:[GEO NAME]],2,FALSE)</f>
        <v>EMEA</v>
      </c>
      <c r="H161" s="1" t="str">
        <f>"Q"&amp;ROUNDUP(MONTH(VolumebyClient[[#This Row],[Date]])/3,0)&amp;" "&amp;YEAR(VolumebyClient[[#This Row],[Date]])</f>
        <v>Q1 2021</v>
      </c>
      <c r="I161" s="1" t="str">
        <f>VLOOKUP(VolumebyClient[[#This Row],[Date]],Quarters[],3,TRUE)</f>
        <v>Q1 2021</v>
      </c>
    </row>
    <row r="162" spans="1:9" x14ac:dyDescent="0.2">
      <c r="A162" s="2" t="s">
        <v>15</v>
      </c>
      <c r="B162" s="10">
        <v>44227</v>
      </c>
      <c r="C162" s="5">
        <v>404</v>
      </c>
      <c r="D162" s="1">
        <f>LEN(VolumebyClient[[#This Row],[CLID]])</f>
        <v>7</v>
      </c>
      <c r="F162" s="1" t="str">
        <f>INDEX(GeobyClient[GEOID],MATCH(VolumebyClient[[#This Row],[CLID]],GeobyClient[Right],0))</f>
        <v>GEO1003</v>
      </c>
      <c r="G162" s="1" t="str">
        <f>VLOOKUP(VolumebyClient[[#This Row],[Index Match Region ID]],GEONames[[GEOID]:[GEO NAME]],2,FALSE)</f>
        <v>EMEA</v>
      </c>
      <c r="H162" s="1" t="str">
        <f>"Q"&amp;ROUNDUP(MONTH(VolumebyClient[[#This Row],[Date]])/3,0)&amp;" "&amp;YEAR(VolumebyClient[[#This Row],[Date]])</f>
        <v>Q1 2021</v>
      </c>
      <c r="I162" s="1" t="str">
        <f>VLOOKUP(VolumebyClient[[#This Row],[Date]],Quarters[],3,TRUE)</f>
        <v>Q1 2021</v>
      </c>
    </row>
    <row r="163" spans="1:9" x14ac:dyDescent="0.2">
      <c r="A163" s="2" t="s">
        <v>36</v>
      </c>
      <c r="B163" s="10">
        <v>43861</v>
      </c>
      <c r="C163" s="5">
        <v>16996</v>
      </c>
      <c r="D163" s="1">
        <f>LEN(VolumebyClient[[#This Row],[CLID]])</f>
        <v>7</v>
      </c>
      <c r="F163" s="1" t="str">
        <f>INDEX(GeobyClient[GEOID],MATCH(VolumebyClient[[#This Row],[CLID]],GeobyClient[Right],0))</f>
        <v>GEO1001</v>
      </c>
      <c r="G163" s="1" t="str">
        <f>VLOOKUP(VolumebyClient[[#This Row],[Index Match Region ID]],GEONames[[GEOID]:[GEO NAME]],2,FALSE)</f>
        <v>NAM</v>
      </c>
      <c r="H163" s="1" t="str">
        <f>"Q"&amp;ROUNDUP(MONTH(VolumebyClient[[#This Row],[Date]])/3,0)&amp;" "&amp;YEAR(VolumebyClient[[#This Row],[Date]])</f>
        <v>Q1 2020</v>
      </c>
      <c r="I163" s="1" t="str">
        <f>VLOOKUP(VolumebyClient[[#This Row],[Date]],Quarters[],3,TRUE)</f>
        <v>Q1 2020</v>
      </c>
    </row>
    <row r="164" spans="1:9" x14ac:dyDescent="0.2">
      <c r="A164" s="2" t="s">
        <v>36</v>
      </c>
      <c r="B164" s="10">
        <v>43890</v>
      </c>
      <c r="C164" s="5">
        <v>19114</v>
      </c>
      <c r="D164" s="1">
        <f>LEN(VolumebyClient[[#This Row],[CLID]])</f>
        <v>7</v>
      </c>
      <c r="F164" s="1" t="str">
        <f>INDEX(GeobyClient[GEOID],MATCH(VolumebyClient[[#This Row],[CLID]],GeobyClient[Right],0))</f>
        <v>GEO1001</v>
      </c>
      <c r="G164" s="1" t="str">
        <f>VLOOKUP(VolumebyClient[[#This Row],[Index Match Region ID]],GEONames[[GEOID]:[GEO NAME]],2,FALSE)</f>
        <v>NAM</v>
      </c>
      <c r="H164" s="1" t="str">
        <f>"Q"&amp;ROUNDUP(MONTH(VolumebyClient[[#This Row],[Date]])/3,0)&amp;" "&amp;YEAR(VolumebyClient[[#This Row],[Date]])</f>
        <v>Q1 2020</v>
      </c>
      <c r="I164" s="1" t="str">
        <f>VLOOKUP(VolumebyClient[[#This Row],[Date]],Quarters[],3,TRUE)</f>
        <v>Q1 2020</v>
      </c>
    </row>
    <row r="165" spans="1:9" x14ac:dyDescent="0.2">
      <c r="A165" s="2" t="s">
        <v>36</v>
      </c>
      <c r="B165" s="10">
        <v>43921</v>
      </c>
      <c r="C165" s="5">
        <v>21243</v>
      </c>
      <c r="D165" s="1">
        <f>LEN(VolumebyClient[[#This Row],[CLID]])</f>
        <v>7</v>
      </c>
      <c r="F165" s="1" t="str">
        <f>INDEX(GeobyClient[GEOID],MATCH(VolumebyClient[[#This Row],[CLID]],GeobyClient[Right],0))</f>
        <v>GEO1001</v>
      </c>
      <c r="G165" s="1" t="str">
        <f>VLOOKUP(VolumebyClient[[#This Row],[Index Match Region ID]],GEONames[[GEOID]:[GEO NAME]],2,FALSE)</f>
        <v>NAM</v>
      </c>
      <c r="H165" s="1" t="str">
        <f>"Q"&amp;ROUNDUP(MONTH(VolumebyClient[[#This Row],[Date]])/3,0)&amp;" "&amp;YEAR(VolumebyClient[[#This Row],[Date]])</f>
        <v>Q1 2020</v>
      </c>
      <c r="I165" s="1" t="str">
        <f>VLOOKUP(VolumebyClient[[#This Row],[Date]],Quarters[],3,TRUE)</f>
        <v>Q1 2020</v>
      </c>
    </row>
    <row r="166" spans="1:9" x14ac:dyDescent="0.2">
      <c r="A166" s="2" t="s">
        <v>36</v>
      </c>
      <c r="B166" s="10">
        <v>43951</v>
      </c>
      <c r="C166" s="5">
        <v>25486</v>
      </c>
      <c r="D166" s="1">
        <f>LEN(VolumebyClient[[#This Row],[CLID]])</f>
        <v>7</v>
      </c>
      <c r="F166" s="1" t="str">
        <f>INDEX(GeobyClient[GEOID],MATCH(VolumebyClient[[#This Row],[CLID]],GeobyClient[Right],0))</f>
        <v>GEO1001</v>
      </c>
      <c r="G166" s="1" t="str">
        <f>VLOOKUP(VolumebyClient[[#This Row],[Index Match Region ID]],GEONames[[GEOID]:[GEO NAME]],2,FALSE)</f>
        <v>NAM</v>
      </c>
      <c r="H166" s="1" t="str">
        <f>"Q"&amp;ROUNDUP(MONTH(VolumebyClient[[#This Row],[Date]])/3,0)&amp;" "&amp;YEAR(VolumebyClient[[#This Row],[Date]])</f>
        <v>Q2 2020</v>
      </c>
      <c r="I166" s="1" t="str">
        <f>VLOOKUP(VolumebyClient[[#This Row],[Date]],Quarters[],3,TRUE)</f>
        <v>Q2 2020</v>
      </c>
    </row>
    <row r="167" spans="1:9" x14ac:dyDescent="0.2">
      <c r="A167" s="2" t="s">
        <v>36</v>
      </c>
      <c r="B167" s="10">
        <v>43982</v>
      </c>
      <c r="C167" s="5">
        <v>23366</v>
      </c>
      <c r="D167" s="1">
        <f>LEN(VolumebyClient[[#This Row],[CLID]])</f>
        <v>7</v>
      </c>
      <c r="F167" s="1" t="str">
        <f>INDEX(GeobyClient[GEOID],MATCH(VolumebyClient[[#This Row],[CLID]],GeobyClient[Right],0))</f>
        <v>GEO1001</v>
      </c>
      <c r="G167" s="1" t="str">
        <f>VLOOKUP(VolumebyClient[[#This Row],[Index Match Region ID]],GEONames[[GEOID]:[GEO NAME]],2,FALSE)</f>
        <v>NAM</v>
      </c>
      <c r="H167" s="1" t="str">
        <f>"Q"&amp;ROUNDUP(MONTH(VolumebyClient[[#This Row],[Date]])/3,0)&amp;" "&amp;YEAR(VolumebyClient[[#This Row],[Date]])</f>
        <v>Q2 2020</v>
      </c>
      <c r="I167" s="1" t="str">
        <f>VLOOKUP(VolumebyClient[[#This Row],[Date]],Quarters[],3,TRUE)</f>
        <v>Q2 2020</v>
      </c>
    </row>
    <row r="168" spans="1:9" x14ac:dyDescent="0.2">
      <c r="A168" s="2" t="s">
        <v>36</v>
      </c>
      <c r="B168" s="10">
        <v>44012</v>
      </c>
      <c r="C168" s="5">
        <v>16995</v>
      </c>
      <c r="D168" s="1">
        <f>LEN(VolumebyClient[[#This Row],[CLID]])</f>
        <v>7</v>
      </c>
      <c r="F168" s="1" t="str">
        <f>INDEX(GeobyClient[GEOID],MATCH(VolumebyClient[[#This Row],[CLID]],GeobyClient[Right],0))</f>
        <v>GEO1001</v>
      </c>
      <c r="G168" s="1" t="str">
        <f>VLOOKUP(VolumebyClient[[#This Row],[Index Match Region ID]],GEONames[[GEOID]:[GEO NAME]],2,FALSE)</f>
        <v>NAM</v>
      </c>
      <c r="H168" s="1" t="str">
        <f>"Q"&amp;ROUNDUP(MONTH(VolumebyClient[[#This Row],[Date]])/3,0)&amp;" "&amp;YEAR(VolumebyClient[[#This Row],[Date]])</f>
        <v>Q2 2020</v>
      </c>
      <c r="I168" s="1" t="str">
        <f>VLOOKUP(VolumebyClient[[#This Row],[Date]],Quarters[],3,TRUE)</f>
        <v>Q2 2020</v>
      </c>
    </row>
    <row r="169" spans="1:9" x14ac:dyDescent="0.2">
      <c r="A169" s="2" t="s">
        <v>36</v>
      </c>
      <c r="B169" s="10">
        <v>44043</v>
      </c>
      <c r="C169" s="5">
        <v>14870</v>
      </c>
      <c r="D169" s="1">
        <f>LEN(VolumebyClient[[#This Row],[CLID]])</f>
        <v>7</v>
      </c>
      <c r="F169" s="1" t="str">
        <f>INDEX(GeobyClient[GEOID],MATCH(VolumebyClient[[#This Row],[CLID]],GeobyClient[Right],0))</f>
        <v>GEO1001</v>
      </c>
      <c r="G169" s="1" t="str">
        <f>VLOOKUP(VolumebyClient[[#This Row],[Index Match Region ID]],GEONames[[GEOID]:[GEO NAME]],2,FALSE)</f>
        <v>NAM</v>
      </c>
      <c r="H169" s="1" t="str">
        <f>"Q"&amp;ROUNDUP(MONTH(VolumebyClient[[#This Row],[Date]])/3,0)&amp;" "&amp;YEAR(VolumebyClient[[#This Row],[Date]])</f>
        <v>Q3 2020</v>
      </c>
      <c r="I169" s="1" t="str">
        <f>VLOOKUP(VolumebyClient[[#This Row],[Date]],Quarters[],3,TRUE)</f>
        <v>Q3 2020</v>
      </c>
    </row>
    <row r="170" spans="1:9" x14ac:dyDescent="0.2">
      <c r="A170" s="2" t="s">
        <v>36</v>
      </c>
      <c r="B170" s="10">
        <v>44074</v>
      </c>
      <c r="C170" s="5">
        <v>12746</v>
      </c>
      <c r="D170" s="1">
        <f>LEN(VolumebyClient[[#This Row],[CLID]])</f>
        <v>7</v>
      </c>
      <c r="F170" s="1" t="str">
        <f>INDEX(GeobyClient[GEOID],MATCH(VolumebyClient[[#This Row],[CLID]],GeobyClient[Right],0))</f>
        <v>GEO1001</v>
      </c>
      <c r="G170" s="1" t="str">
        <f>VLOOKUP(VolumebyClient[[#This Row],[Index Match Region ID]],GEONames[[GEOID]:[GEO NAME]],2,FALSE)</f>
        <v>NAM</v>
      </c>
      <c r="H170" s="1" t="str">
        <f>"Q"&amp;ROUNDUP(MONTH(VolumebyClient[[#This Row],[Date]])/3,0)&amp;" "&amp;YEAR(VolumebyClient[[#This Row],[Date]])</f>
        <v>Q3 2020</v>
      </c>
      <c r="I170" s="1" t="str">
        <f>VLOOKUP(VolumebyClient[[#This Row],[Date]],Quarters[],3,TRUE)</f>
        <v>Q3 2020</v>
      </c>
    </row>
    <row r="171" spans="1:9" x14ac:dyDescent="0.2">
      <c r="A171" s="2" t="s">
        <v>36</v>
      </c>
      <c r="B171" s="10">
        <v>44104</v>
      </c>
      <c r="C171" s="5">
        <v>12748</v>
      </c>
      <c r="D171" s="1">
        <f>LEN(VolumebyClient[[#This Row],[CLID]])</f>
        <v>7</v>
      </c>
      <c r="F171" s="1" t="str">
        <f>INDEX(GeobyClient[GEOID],MATCH(VolumebyClient[[#This Row],[CLID]],GeobyClient[Right],0))</f>
        <v>GEO1001</v>
      </c>
      <c r="G171" s="1" t="str">
        <f>VLOOKUP(VolumebyClient[[#This Row],[Index Match Region ID]],GEONames[[GEOID]:[GEO NAME]],2,FALSE)</f>
        <v>NAM</v>
      </c>
      <c r="H171" s="1" t="str">
        <f>"Q"&amp;ROUNDUP(MONTH(VolumebyClient[[#This Row],[Date]])/3,0)&amp;" "&amp;YEAR(VolumebyClient[[#This Row],[Date]])</f>
        <v>Q3 2020</v>
      </c>
      <c r="I171" s="1" t="str">
        <f>VLOOKUP(VolumebyClient[[#This Row],[Date]],Quarters[],3,TRUE)</f>
        <v>Q3 2020</v>
      </c>
    </row>
    <row r="172" spans="1:9" x14ac:dyDescent="0.2">
      <c r="A172" s="2" t="s">
        <v>36</v>
      </c>
      <c r="B172" s="10">
        <v>44135</v>
      </c>
      <c r="C172" s="5">
        <v>14871</v>
      </c>
      <c r="D172" s="1">
        <f>LEN(VolumebyClient[[#This Row],[CLID]])</f>
        <v>7</v>
      </c>
      <c r="F172" s="1" t="str">
        <f>INDEX(GeobyClient[GEOID],MATCH(VolumebyClient[[#This Row],[CLID]],GeobyClient[Right],0))</f>
        <v>GEO1001</v>
      </c>
      <c r="G172" s="1" t="str">
        <f>VLOOKUP(VolumebyClient[[#This Row],[Index Match Region ID]],GEONames[[GEOID]:[GEO NAME]],2,FALSE)</f>
        <v>NAM</v>
      </c>
      <c r="H172" s="1" t="str">
        <f>"Q"&amp;ROUNDUP(MONTH(VolumebyClient[[#This Row],[Date]])/3,0)&amp;" "&amp;YEAR(VolumebyClient[[#This Row],[Date]])</f>
        <v>Q4 2020</v>
      </c>
      <c r="I172" s="1" t="str">
        <f>VLOOKUP(VolumebyClient[[#This Row],[Date]],Quarters[],3,TRUE)</f>
        <v>Q4 2020</v>
      </c>
    </row>
    <row r="173" spans="1:9" x14ac:dyDescent="0.2">
      <c r="A173" s="2" t="s">
        <v>36</v>
      </c>
      <c r="B173" s="10">
        <v>44165</v>
      </c>
      <c r="C173" s="5">
        <v>16997</v>
      </c>
      <c r="D173" s="1">
        <f>LEN(VolumebyClient[[#This Row],[CLID]])</f>
        <v>7</v>
      </c>
      <c r="F173" s="1" t="str">
        <f>INDEX(GeobyClient[GEOID],MATCH(VolumebyClient[[#This Row],[CLID]],GeobyClient[Right],0))</f>
        <v>GEO1001</v>
      </c>
      <c r="G173" s="1" t="str">
        <f>VLOOKUP(VolumebyClient[[#This Row],[Index Match Region ID]],GEONames[[GEOID]:[GEO NAME]],2,FALSE)</f>
        <v>NAM</v>
      </c>
      <c r="H173" s="1" t="str">
        <f>"Q"&amp;ROUNDUP(MONTH(VolumebyClient[[#This Row],[Date]])/3,0)&amp;" "&amp;YEAR(VolumebyClient[[#This Row],[Date]])</f>
        <v>Q4 2020</v>
      </c>
      <c r="I173" s="1" t="str">
        <f>VLOOKUP(VolumebyClient[[#This Row],[Date]],Quarters[],3,TRUE)</f>
        <v>Q4 2020</v>
      </c>
    </row>
    <row r="174" spans="1:9" x14ac:dyDescent="0.2">
      <c r="A174" s="2" t="s">
        <v>36</v>
      </c>
      <c r="B174" s="10">
        <v>44196</v>
      </c>
      <c r="C174" s="5">
        <v>16997</v>
      </c>
      <c r="D174" s="1">
        <f>LEN(VolumebyClient[[#This Row],[CLID]])</f>
        <v>7</v>
      </c>
      <c r="F174" s="1" t="str">
        <f>INDEX(GeobyClient[GEOID],MATCH(VolumebyClient[[#This Row],[CLID]],GeobyClient[Right],0))</f>
        <v>GEO1001</v>
      </c>
      <c r="G174" s="1" t="str">
        <f>VLOOKUP(VolumebyClient[[#This Row],[Index Match Region ID]],GEONames[[GEOID]:[GEO NAME]],2,FALSE)</f>
        <v>NAM</v>
      </c>
      <c r="H174" s="1" t="str">
        <f>"Q"&amp;ROUNDUP(MONTH(VolumebyClient[[#This Row],[Date]])/3,0)&amp;" "&amp;YEAR(VolumebyClient[[#This Row],[Date]])</f>
        <v>Q4 2020</v>
      </c>
      <c r="I174" s="1" t="str">
        <f>VLOOKUP(VolumebyClient[[#This Row],[Date]],Quarters[],3,TRUE)</f>
        <v>Q4 2020</v>
      </c>
    </row>
    <row r="175" spans="1:9" x14ac:dyDescent="0.2">
      <c r="A175" s="2" t="s">
        <v>36</v>
      </c>
      <c r="B175" s="10">
        <v>44377</v>
      </c>
      <c r="C175" s="5">
        <v>17844</v>
      </c>
      <c r="D175" s="1">
        <f>LEN(VolumebyClient[[#This Row],[CLID]])</f>
        <v>7</v>
      </c>
      <c r="F175" s="1" t="str">
        <f>INDEX(GeobyClient[GEOID],MATCH(VolumebyClient[[#This Row],[CLID]],GeobyClient[Right],0))</f>
        <v>GEO1001</v>
      </c>
      <c r="G175" s="1" t="str">
        <f>VLOOKUP(VolumebyClient[[#This Row],[Index Match Region ID]],GEONames[[GEOID]:[GEO NAME]],2,FALSE)</f>
        <v>NAM</v>
      </c>
      <c r="H175" s="1" t="str">
        <f>"Q"&amp;ROUNDUP(MONTH(VolumebyClient[[#This Row],[Date]])/3,0)&amp;" "&amp;YEAR(VolumebyClient[[#This Row],[Date]])</f>
        <v>Q2 2021</v>
      </c>
      <c r="I175" s="1" t="str">
        <f>VLOOKUP(VolumebyClient[[#This Row],[Date]],Quarters[],3,TRUE)</f>
        <v>Q2 2021</v>
      </c>
    </row>
    <row r="176" spans="1:9" x14ac:dyDescent="0.2">
      <c r="A176" s="2" t="s">
        <v>36</v>
      </c>
      <c r="B176" s="10">
        <v>44347</v>
      </c>
      <c r="C176" s="5">
        <v>23129</v>
      </c>
      <c r="D176" s="1">
        <f>LEN(VolumebyClient[[#This Row],[CLID]])</f>
        <v>7</v>
      </c>
      <c r="F176" s="1" t="str">
        <f>INDEX(GeobyClient[GEOID],MATCH(VolumebyClient[[#This Row],[CLID]],GeobyClient[Right],0))</f>
        <v>GEO1001</v>
      </c>
      <c r="G176" s="1" t="str">
        <f>VLOOKUP(VolumebyClient[[#This Row],[Index Match Region ID]],GEONames[[GEOID]:[GEO NAME]],2,FALSE)</f>
        <v>NAM</v>
      </c>
      <c r="H176" s="1" t="str">
        <f>"Q"&amp;ROUNDUP(MONTH(VolumebyClient[[#This Row],[Date]])/3,0)&amp;" "&amp;YEAR(VolumebyClient[[#This Row],[Date]])</f>
        <v>Q2 2021</v>
      </c>
      <c r="I176" s="1" t="str">
        <f>VLOOKUP(VolumebyClient[[#This Row],[Date]],Quarters[],3,TRUE)</f>
        <v>Q2 2021</v>
      </c>
    </row>
    <row r="177" spans="1:9" x14ac:dyDescent="0.2">
      <c r="A177" s="2" t="s">
        <v>36</v>
      </c>
      <c r="B177" s="10">
        <v>44316</v>
      </c>
      <c r="C177" s="5">
        <v>26253</v>
      </c>
      <c r="D177" s="1">
        <f>LEN(VolumebyClient[[#This Row],[CLID]])</f>
        <v>7</v>
      </c>
      <c r="F177" s="1" t="str">
        <f>INDEX(GeobyClient[GEOID],MATCH(VolumebyClient[[#This Row],[CLID]],GeobyClient[Right],0))</f>
        <v>GEO1001</v>
      </c>
      <c r="G177" s="1" t="str">
        <f>VLOOKUP(VolumebyClient[[#This Row],[Index Match Region ID]],GEONames[[GEOID]:[GEO NAME]],2,FALSE)</f>
        <v>NAM</v>
      </c>
      <c r="H177" s="1" t="str">
        <f>"Q"&amp;ROUNDUP(MONTH(VolumebyClient[[#This Row],[Date]])/3,0)&amp;" "&amp;YEAR(VolumebyClient[[#This Row],[Date]])</f>
        <v>Q2 2021</v>
      </c>
      <c r="I177" s="1" t="str">
        <f>VLOOKUP(VolumebyClient[[#This Row],[Date]],Quarters[],3,TRUE)</f>
        <v>Q2 2021</v>
      </c>
    </row>
    <row r="178" spans="1:9" x14ac:dyDescent="0.2">
      <c r="A178" s="2" t="s">
        <v>36</v>
      </c>
      <c r="B178" s="10">
        <v>44286</v>
      </c>
      <c r="C178" s="5">
        <v>21877</v>
      </c>
      <c r="D178" s="1">
        <f>LEN(VolumebyClient[[#This Row],[CLID]])</f>
        <v>7</v>
      </c>
      <c r="F178" s="1" t="str">
        <f>INDEX(GeobyClient[GEOID],MATCH(VolumebyClient[[#This Row],[CLID]],GeobyClient[Right],0))</f>
        <v>GEO1001</v>
      </c>
      <c r="G178" s="1" t="str">
        <f>VLOOKUP(VolumebyClient[[#This Row],[Index Match Region ID]],GEONames[[GEOID]:[GEO NAME]],2,FALSE)</f>
        <v>NAM</v>
      </c>
      <c r="H178" s="1" t="str">
        <f>"Q"&amp;ROUNDUP(MONTH(VolumebyClient[[#This Row],[Date]])/3,0)&amp;" "&amp;YEAR(VolumebyClient[[#This Row],[Date]])</f>
        <v>Q1 2021</v>
      </c>
      <c r="I178" s="1" t="str">
        <f>VLOOKUP(VolumebyClient[[#This Row],[Date]],Quarters[],3,TRUE)</f>
        <v>Q1 2021</v>
      </c>
    </row>
    <row r="179" spans="1:9" x14ac:dyDescent="0.2">
      <c r="A179" s="2" t="s">
        <v>36</v>
      </c>
      <c r="B179" s="10">
        <v>44255</v>
      </c>
      <c r="C179" s="5">
        <v>19020</v>
      </c>
      <c r="D179" s="1">
        <f>LEN(VolumebyClient[[#This Row],[CLID]])</f>
        <v>7</v>
      </c>
      <c r="F179" s="1" t="str">
        <f>INDEX(GeobyClient[GEOID],MATCH(VolumebyClient[[#This Row],[CLID]],GeobyClient[Right],0))</f>
        <v>GEO1001</v>
      </c>
      <c r="G179" s="1" t="str">
        <f>VLOOKUP(VolumebyClient[[#This Row],[Index Match Region ID]],GEONames[[GEOID]:[GEO NAME]],2,FALSE)</f>
        <v>NAM</v>
      </c>
      <c r="H179" s="1" t="str">
        <f>"Q"&amp;ROUNDUP(MONTH(VolumebyClient[[#This Row],[Date]])/3,0)&amp;" "&amp;YEAR(VolumebyClient[[#This Row],[Date]])</f>
        <v>Q1 2021</v>
      </c>
      <c r="I179" s="1" t="str">
        <f>VLOOKUP(VolumebyClient[[#This Row],[Date]],Quarters[],3,TRUE)</f>
        <v>Q1 2021</v>
      </c>
    </row>
    <row r="180" spans="1:9" x14ac:dyDescent="0.2">
      <c r="A180" s="2" t="s">
        <v>36</v>
      </c>
      <c r="B180" s="10">
        <v>44227</v>
      </c>
      <c r="C180" s="5">
        <v>17843</v>
      </c>
      <c r="D180" s="1">
        <f>LEN(VolumebyClient[[#This Row],[CLID]])</f>
        <v>7</v>
      </c>
      <c r="F180" s="1" t="str">
        <f>INDEX(GeobyClient[GEOID],MATCH(VolumebyClient[[#This Row],[CLID]],GeobyClient[Right],0))</f>
        <v>GEO1001</v>
      </c>
      <c r="G180" s="1" t="str">
        <f>VLOOKUP(VolumebyClient[[#This Row],[Index Match Region ID]],GEONames[[GEOID]:[GEO NAME]],2,FALSE)</f>
        <v>NAM</v>
      </c>
      <c r="H180" s="1" t="str">
        <f>"Q"&amp;ROUNDUP(MONTH(VolumebyClient[[#This Row],[Date]])/3,0)&amp;" "&amp;YEAR(VolumebyClient[[#This Row],[Date]])</f>
        <v>Q1 2021</v>
      </c>
      <c r="I180" s="1" t="str">
        <f>VLOOKUP(VolumebyClient[[#This Row],[Date]],Quarters[],3,TRUE)</f>
        <v>Q1 2021</v>
      </c>
    </row>
    <row r="181" spans="1:9" x14ac:dyDescent="0.2">
      <c r="A181" s="2" t="s">
        <v>3</v>
      </c>
      <c r="B181" s="10">
        <v>43861</v>
      </c>
      <c r="C181" s="5">
        <v>13879</v>
      </c>
      <c r="D181" s="1">
        <f>LEN(VolumebyClient[[#This Row],[CLID]])</f>
        <v>7</v>
      </c>
      <c r="F181" s="1" t="str">
        <f>INDEX(GeobyClient[GEOID],MATCH(VolumebyClient[[#This Row],[CLID]],GeobyClient[Right],0))</f>
        <v>GEO1001</v>
      </c>
      <c r="G181" s="1" t="str">
        <f>VLOOKUP(VolumebyClient[[#This Row],[Index Match Region ID]],GEONames[[GEOID]:[GEO NAME]],2,FALSE)</f>
        <v>NAM</v>
      </c>
      <c r="H181" s="1" t="str">
        <f>"Q"&amp;ROUNDUP(MONTH(VolumebyClient[[#This Row],[Date]])/3,0)&amp;" "&amp;YEAR(VolumebyClient[[#This Row],[Date]])</f>
        <v>Q1 2020</v>
      </c>
      <c r="I181" s="1" t="str">
        <f>VLOOKUP(VolumebyClient[[#This Row],[Date]],Quarters[],3,TRUE)</f>
        <v>Q1 2020</v>
      </c>
    </row>
    <row r="182" spans="1:9" x14ac:dyDescent="0.2">
      <c r="A182" s="2" t="s">
        <v>3</v>
      </c>
      <c r="B182" s="10">
        <v>43890</v>
      </c>
      <c r="C182" s="5">
        <v>19822</v>
      </c>
      <c r="D182" s="1">
        <f>LEN(VolumebyClient[[#This Row],[CLID]])</f>
        <v>7</v>
      </c>
      <c r="F182" s="1" t="str">
        <f>INDEX(GeobyClient[GEOID],MATCH(VolumebyClient[[#This Row],[CLID]],GeobyClient[Right],0))</f>
        <v>GEO1001</v>
      </c>
      <c r="G182" s="1" t="str">
        <f>VLOOKUP(VolumebyClient[[#This Row],[Index Match Region ID]],GEONames[[GEOID]:[GEO NAME]],2,FALSE)</f>
        <v>NAM</v>
      </c>
      <c r="H182" s="1" t="str">
        <f>"Q"&amp;ROUNDUP(MONTH(VolumebyClient[[#This Row],[Date]])/3,0)&amp;" "&amp;YEAR(VolumebyClient[[#This Row],[Date]])</f>
        <v>Q1 2020</v>
      </c>
      <c r="I182" s="1" t="str">
        <f>VLOOKUP(VolumebyClient[[#This Row],[Date]],Quarters[],3,TRUE)</f>
        <v>Q1 2020</v>
      </c>
    </row>
    <row r="183" spans="1:9" x14ac:dyDescent="0.2">
      <c r="A183" s="2" t="s">
        <v>3</v>
      </c>
      <c r="B183" s="10">
        <v>43921</v>
      </c>
      <c r="C183" s="5">
        <v>17842</v>
      </c>
      <c r="D183" s="1">
        <f>LEN(VolumebyClient[[#This Row],[CLID]])</f>
        <v>7</v>
      </c>
      <c r="F183" s="1" t="str">
        <f>INDEX(GeobyClient[GEOID],MATCH(VolumebyClient[[#This Row],[CLID]],GeobyClient[Right],0))</f>
        <v>GEO1001</v>
      </c>
      <c r="G183" s="1" t="str">
        <f>VLOOKUP(VolumebyClient[[#This Row],[Index Match Region ID]],GEONames[[GEOID]:[GEO NAME]],2,FALSE)</f>
        <v>NAM</v>
      </c>
      <c r="H183" s="1" t="str">
        <f>"Q"&amp;ROUNDUP(MONTH(VolumebyClient[[#This Row],[Date]])/3,0)&amp;" "&amp;YEAR(VolumebyClient[[#This Row],[Date]])</f>
        <v>Q1 2020</v>
      </c>
      <c r="I183" s="1" t="str">
        <f>VLOOKUP(VolumebyClient[[#This Row],[Date]],Quarters[],3,TRUE)</f>
        <v>Q1 2020</v>
      </c>
    </row>
    <row r="184" spans="1:9" x14ac:dyDescent="0.2">
      <c r="A184" s="2" t="s">
        <v>3</v>
      </c>
      <c r="B184" s="10">
        <v>43951</v>
      </c>
      <c r="C184" s="5">
        <v>25770</v>
      </c>
      <c r="D184" s="1">
        <f>LEN(VolumebyClient[[#This Row],[CLID]])</f>
        <v>7</v>
      </c>
      <c r="F184" s="1" t="str">
        <f>INDEX(GeobyClient[GEOID],MATCH(VolumebyClient[[#This Row],[CLID]],GeobyClient[Right],0))</f>
        <v>GEO1001</v>
      </c>
      <c r="G184" s="1" t="str">
        <f>VLOOKUP(VolumebyClient[[#This Row],[Index Match Region ID]],GEONames[[GEOID]:[GEO NAME]],2,FALSE)</f>
        <v>NAM</v>
      </c>
      <c r="H184" s="1" t="str">
        <f>"Q"&amp;ROUNDUP(MONTH(VolumebyClient[[#This Row],[Date]])/3,0)&amp;" "&amp;YEAR(VolumebyClient[[#This Row],[Date]])</f>
        <v>Q2 2020</v>
      </c>
      <c r="I184" s="1" t="str">
        <f>VLOOKUP(VolumebyClient[[#This Row],[Date]],Quarters[],3,TRUE)</f>
        <v>Q2 2020</v>
      </c>
    </row>
    <row r="185" spans="1:9" x14ac:dyDescent="0.2">
      <c r="A185" s="2" t="s">
        <v>3</v>
      </c>
      <c r="B185" s="10">
        <v>43982</v>
      </c>
      <c r="C185" s="5">
        <v>19823</v>
      </c>
      <c r="D185" s="1">
        <f>LEN(VolumebyClient[[#This Row],[CLID]])</f>
        <v>7</v>
      </c>
      <c r="F185" s="1" t="str">
        <f>INDEX(GeobyClient[GEOID],MATCH(VolumebyClient[[#This Row],[CLID]],GeobyClient[Right],0))</f>
        <v>GEO1001</v>
      </c>
      <c r="G185" s="1" t="str">
        <f>VLOOKUP(VolumebyClient[[#This Row],[Index Match Region ID]],GEONames[[GEOID]:[GEO NAME]],2,FALSE)</f>
        <v>NAM</v>
      </c>
      <c r="H185" s="1" t="str">
        <f>"Q"&amp;ROUNDUP(MONTH(VolumebyClient[[#This Row],[Date]])/3,0)&amp;" "&amp;YEAR(VolumebyClient[[#This Row],[Date]])</f>
        <v>Q2 2020</v>
      </c>
      <c r="I185" s="1" t="str">
        <f>VLOOKUP(VolumebyClient[[#This Row],[Date]],Quarters[],3,TRUE)</f>
        <v>Q2 2020</v>
      </c>
    </row>
    <row r="186" spans="1:9" x14ac:dyDescent="0.2">
      <c r="A186" s="2" t="s">
        <v>3</v>
      </c>
      <c r="B186" s="10">
        <v>44012</v>
      </c>
      <c r="C186" s="5">
        <v>17845</v>
      </c>
      <c r="D186" s="1">
        <f>LEN(VolumebyClient[[#This Row],[CLID]])</f>
        <v>7</v>
      </c>
      <c r="F186" s="1" t="str">
        <f>INDEX(GeobyClient[GEOID],MATCH(VolumebyClient[[#This Row],[CLID]],GeobyClient[Right],0))</f>
        <v>GEO1001</v>
      </c>
      <c r="G186" s="1" t="str">
        <f>VLOOKUP(VolumebyClient[[#This Row],[Index Match Region ID]],GEONames[[GEOID]:[GEO NAME]],2,FALSE)</f>
        <v>NAM</v>
      </c>
      <c r="H186" s="1" t="str">
        <f>"Q"&amp;ROUNDUP(MONTH(VolumebyClient[[#This Row],[Date]])/3,0)&amp;" "&amp;YEAR(VolumebyClient[[#This Row],[Date]])</f>
        <v>Q2 2020</v>
      </c>
      <c r="I186" s="1" t="str">
        <f>VLOOKUP(VolumebyClient[[#This Row],[Date]],Quarters[],3,TRUE)</f>
        <v>Q2 2020</v>
      </c>
    </row>
    <row r="187" spans="1:9" x14ac:dyDescent="0.2">
      <c r="A187" s="2" t="s">
        <v>3</v>
      </c>
      <c r="B187" s="10">
        <v>44043</v>
      </c>
      <c r="C187" s="5">
        <v>11899</v>
      </c>
      <c r="D187" s="1">
        <f>LEN(VolumebyClient[[#This Row],[CLID]])</f>
        <v>7</v>
      </c>
      <c r="F187" s="1" t="str">
        <f>INDEX(GeobyClient[GEOID],MATCH(VolumebyClient[[#This Row],[CLID]],GeobyClient[Right],0))</f>
        <v>GEO1001</v>
      </c>
      <c r="G187" s="1" t="str">
        <f>VLOOKUP(VolumebyClient[[#This Row],[Index Match Region ID]],GEONames[[GEOID]:[GEO NAME]],2,FALSE)</f>
        <v>NAM</v>
      </c>
      <c r="H187" s="1" t="str">
        <f>"Q"&amp;ROUNDUP(MONTH(VolumebyClient[[#This Row],[Date]])/3,0)&amp;" "&amp;YEAR(VolumebyClient[[#This Row],[Date]])</f>
        <v>Q3 2020</v>
      </c>
      <c r="I187" s="1" t="str">
        <f>VLOOKUP(VolumebyClient[[#This Row],[Date]],Quarters[],3,TRUE)</f>
        <v>Q3 2020</v>
      </c>
    </row>
    <row r="188" spans="1:9" x14ac:dyDescent="0.2">
      <c r="A188" s="2" t="s">
        <v>3</v>
      </c>
      <c r="B188" s="10">
        <v>44074</v>
      </c>
      <c r="C188" s="5">
        <v>13879</v>
      </c>
      <c r="D188" s="1">
        <f>LEN(VolumebyClient[[#This Row],[CLID]])</f>
        <v>7</v>
      </c>
      <c r="F188" s="1" t="str">
        <f>INDEX(GeobyClient[GEOID],MATCH(VolumebyClient[[#This Row],[CLID]],GeobyClient[Right],0))</f>
        <v>GEO1001</v>
      </c>
      <c r="G188" s="1" t="str">
        <f>VLOOKUP(VolumebyClient[[#This Row],[Index Match Region ID]],GEONames[[GEOID]:[GEO NAME]],2,FALSE)</f>
        <v>NAM</v>
      </c>
      <c r="H188" s="1" t="str">
        <f>"Q"&amp;ROUNDUP(MONTH(VolumebyClient[[#This Row],[Date]])/3,0)&amp;" "&amp;YEAR(VolumebyClient[[#This Row],[Date]])</f>
        <v>Q3 2020</v>
      </c>
      <c r="I188" s="1" t="str">
        <f>VLOOKUP(VolumebyClient[[#This Row],[Date]],Quarters[],3,TRUE)</f>
        <v>Q3 2020</v>
      </c>
    </row>
    <row r="189" spans="1:9" x14ac:dyDescent="0.2">
      <c r="A189" s="2" t="s">
        <v>3</v>
      </c>
      <c r="B189" s="10">
        <v>44104</v>
      </c>
      <c r="C189" s="5">
        <v>9913</v>
      </c>
      <c r="D189" s="1">
        <f>LEN(VolumebyClient[[#This Row],[CLID]])</f>
        <v>7</v>
      </c>
      <c r="F189" s="1" t="str">
        <f>INDEX(GeobyClient[GEOID],MATCH(VolumebyClient[[#This Row],[CLID]],GeobyClient[Right],0))</f>
        <v>GEO1001</v>
      </c>
      <c r="G189" s="1" t="str">
        <f>VLOOKUP(VolumebyClient[[#This Row],[Index Match Region ID]],GEONames[[GEOID]:[GEO NAME]],2,FALSE)</f>
        <v>NAM</v>
      </c>
      <c r="H189" s="1" t="str">
        <f>"Q"&amp;ROUNDUP(MONTH(VolumebyClient[[#This Row],[Date]])/3,0)&amp;" "&amp;YEAR(VolumebyClient[[#This Row],[Date]])</f>
        <v>Q3 2020</v>
      </c>
      <c r="I189" s="1" t="str">
        <f>VLOOKUP(VolumebyClient[[#This Row],[Date]],Quarters[],3,TRUE)</f>
        <v>Q3 2020</v>
      </c>
    </row>
    <row r="190" spans="1:9" x14ac:dyDescent="0.2">
      <c r="A190" s="2" t="s">
        <v>3</v>
      </c>
      <c r="B190" s="10">
        <v>44135</v>
      </c>
      <c r="C190" s="5">
        <v>15858</v>
      </c>
      <c r="D190" s="1">
        <f>LEN(VolumebyClient[[#This Row],[CLID]])</f>
        <v>7</v>
      </c>
      <c r="F190" s="1" t="str">
        <f>INDEX(GeobyClient[GEOID],MATCH(VolumebyClient[[#This Row],[CLID]],GeobyClient[Right],0))</f>
        <v>GEO1001</v>
      </c>
      <c r="G190" s="1" t="str">
        <f>VLOOKUP(VolumebyClient[[#This Row],[Index Match Region ID]],GEONames[[GEOID]:[GEO NAME]],2,FALSE)</f>
        <v>NAM</v>
      </c>
      <c r="H190" s="1" t="str">
        <f>"Q"&amp;ROUNDUP(MONTH(VolumebyClient[[#This Row],[Date]])/3,0)&amp;" "&amp;YEAR(VolumebyClient[[#This Row],[Date]])</f>
        <v>Q4 2020</v>
      </c>
      <c r="I190" s="1" t="str">
        <f>VLOOKUP(VolumebyClient[[#This Row],[Date]],Quarters[],3,TRUE)</f>
        <v>Q4 2020</v>
      </c>
    </row>
    <row r="191" spans="1:9" x14ac:dyDescent="0.2">
      <c r="A191" s="2" t="s">
        <v>3</v>
      </c>
      <c r="B191" s="10">
        <v>44165</v>
      </c>
      <c r="C191" s="5">
        <v>13882</v>
      </c>
      <c r="D191" s="1">
        <f>LEN(VolumebyClient[[#This Row],[CLID]])</f>
        <v>7</v>
      </c>
      <c r="F191" s="1" t="str">
        <f>INDEX(GeobyClient[GEOID],MATCH(VolumebyClient[[#This Row],[CLID]],GeobyClient[Right],0))</f>
        <v>GEO1001</v>
      </c>
      <c r="G191" s="1" t="str">
        <f>VLOOKUP(VolumebyClient[[#This Row],[Index Match Region ID]],GEONames[[GEOID]:[GEO NAME]],2,FALSE)</f>
        <v>NAM</v>
      </c>
      <c r="H191" s="1" t="str">
        <f>"Q"&amp;ROUNDUP(MONTH(VolumebyClient[[#This Row],[Date]])/3,0)&amp;" "&amp;YEAR(VolumebyClient[[#This Row],[Date]])</f>
        <v>Q4 2020</v>
      </c>
      <c r="I191" s="1" t="str">
        <f>VLOOKUP(VolumebyClient[[#This Row],[Date]],Quarters[],3,TRUE)</f>
        <v>Q4 2020</v>
      </c>
    </row>
    <row r="192" spans="1:9" x14ac:dyDescent="0.2">
      <c r="A192" s="2" t="s">
        <v>3</v>
      </c>
      <c r="B192" s="10">
        <v>44196</v>
      </c>
      <c r="C192" s="5">
        <v>17841</v>
      </c>
      <c r="D192" s="1">
        <f>LEN(VolumebyClient[[#This Row],[CLID]])</f>
        <v>7</v>
      </c>
      <c r="F192" s="1" t="str">
        <f>INDEX(GeobyClient[GEOID],MATCH(VolumebyClient[[#This Row],[CLID]],GeobyClient[Right],0))</f>
        <v>GEO1001</v>
      </c>
      <c r="G192" s="1" t="str">
        <f>VLOOKUP(VolumebyClient[[#This Row],[Index Match Region ID]],GEONames[[GEOID]:[GEO NAME]],2,FALSE)</f>
        <v>NAM</v>
      </c>
      <c r="H192" s="1" t="str">
        <f>"Q"&amp;ROUNDUP(MONTH(VolumebyClient[[#This Row],[Date]])/3,0)&amp;" "&amp;YEAR(VolumebyClient[[#This Row],[Date]])</f>
        <v>Q4 2020</v>
      </c>
      <c r="I192" s="1" t="str">
        <f>VLOOKUP(VolumebyClient[[#This Row],[Date]],Quarters[],3,TRUE)</f>
        <v>Q4 2020</v>
      </c>
    </row>
    <row r="193" spans="1:9" x14ac:dyDescent="0.2">
      <c r="A193" s="2" t="s">
        <v>3</v>
      </c>
      <c r="B193" s="10">
        <v>44377</v>
      </c>
      <c r="C193" s="5">
        <v>18554</v>
      </c>
      <c r="D193" s="1">
        <f>LEN(VolumebyClient[[#This Row],[CLID]])</f>
        <v>7</v>
      </c>
      <c r="F193" s="1" t="str">
        <f>INDEX(GeobyClient[GEOID],MATCH(VolumebyClient[[#This Row],[CLID]],GeobyClient[Right],0))</f>
        <v>GEO1001</v>
      </c>
      <c r="G193" s="1" t="str">
        <f>VLOOKUP(VolumebyClient[[#This Row],[Index Match Region ID]],GEONames[[GEOID]:[GEO NAME]],2,FALSE)</f>
        <v>NAM</v>
      </c>
      <c r="H193" s="1" t="str">
        <f>"Q"&amp;ROUNDUP(MONTH(VolumebyClient[[#This Row],[Date]])/3,0)&amp;" "&amp;YEAR(VolumebyClient[[#This Row],[Date]])</f>
        <v>Q2 2021</v>
      </c>
      <c r="I193" s="1" t="str">
        <f>VLOOKUP(VolumebyClient[[#This Row],[Date]],Quarters[],3,TRUE)</f>
        <v>Q2 2021</v>
      </c>
    </row>
    <row r="194" spans="1:9" x14ac:dyDescent="0.2">
      <c r="A194" s="2" t="s">
        <v>3</v>
      </c>
      <c r="B194" s="10">
        <v>44347</v>
      </c>
      <c r="C194" s="5">
        <v>20218</v>
      </c>
      <c r="D194" s="1">
        <f>LEN(VolumebyClient[[#This Row],[CLID]])</f>
        <v>7</v>
      </c>
      <c r="F194" s="1" t="str">
        <f>INDEX(GeobyClient[GEOID],MATCH(VolumebyClient[[#This Row],[CLID]],GeobyClient[Right],0))</f>
        <v>GEO1001</v>
      </c>
      <c r="G194" s="1" t="str">
        <f>VLOOKUP(VolumebyClient[[#This Row],[Index Match Region ID]],GEONames[[GEOID]:[GEO NAME]],2,FALSE)</f>
        <v>NAM</v>
      </c>
      <c r="H194" s="1" t="str">
        <f>"Q"&amp;ROUNDUP(MONTH(VolumebyClient[[#This Row],[Date]])/3,0)&amp;" "&amp;YEAR(VolumebyClient[[#This Row],[Date]])</f>
        <v>Q2 2021</v>
      </c>
      <c r="I194" s="1" t="str">
        <f>VLOOKUP(VolumebyClient[[#This Row],[Date]],Quarters[],3,TRUE)</f>
        <v>Q2 2021</v>
      </c>
    </row>
    <row r="195" spans="1:9" x14ac:dyDescent="0.2">
      <c r="A195" s="2" t="s">
        <v>3</v>
      </c>
      <c r="B195" s="10">
        <v>44316</v>
      </c>
      <c r="C195" s="5">
        <v>27062</v>
      </c>
      <c r="D195" s="1">
        <f>LEN(VolumebyClient[[#This Row],[CLID]])</f>
        <v>7</v>
      </c>
      <c r="F195" s="1" t="str">
        <f>INDEX(GeobyClient[GEOID],MATCH(VolumebyClient[[#This Row],[CLID]],GeobyClient[Right],0))</f>
        <v>GEO1001</v>
      </c>
      <c r="G195" s="1" t="str">
        <f>VLOOKUP(VolumebyClient[[#This Row],[Index Match Region ID]],GEONames[[GEOID]:[GEO NAME]],2,FALSE)</f>
        <v>NAM</v>
      </c>
      <c r="H195" s="1" t="str">
        <f>"Q"&amp;ROUNDUP(MONTH(VolumebyClient[[#This Row],[Date]])/3,0)&amp;" "&amp;YEAR(VolumebyClient[[#This Row],[Date]])</f>
        <v>Q2 2021</v>
      </c>
      <c r="I195" s="1" t="str">
        <f>VLOOKUP(VolumebyClient[[#This Row],[Date]],Quarters[],3,TRUE)</f>
        <v>Q2 2021</v>
      </c>
    </row>
    <row r="196" spans="1:9" x14ac:dyDescent="0.2">
      <c r="A196" s="2" t="s">
        <v>3</v>
      </c>
      <c r="B196" s="10">
        <v>44286</v>
      </c>
      <c r="C196" s="5">
        <v>18378</v>
      </c>
      <c r="D196" s="1">
        <f>LEN(VolumebyClient[[#This Row],[CLID]])</f>
        <v>7</v>
      </c>
      <c r="F196" s="1" t="str">
        <f>INDEX(GeobyClient[GEOID],MATCH(VolumebyClient[[#This Row],[CLID]],GeobyClient[Right],0))</f>
        <v>GEO1001</v>
      </c>
      <c r="G196" s="1" t="str">
        <f>VLOOKUP(VolumebyClient[[#This Row],[Index Match Region ID]],GEONames[[GEOID]:[GEO NAME]],2,FALSE)</f>
        <v>NAM</v>
      </c>
      <c r="H196" s="1" t="str">
        <f>"Q"&amp;ROUNDUP(MONTH(VolumebyClient[[#This Row],[Date]])/3,0)&amp;" "&amp;YEAR(VolumebyClient[[#This Row],[Date]])</f>
        <v>Q1 2021</v>
      </c>
      <c r="I196" s="1" t="str">
        <f>VLOOKUP(VolumebyClient[[#This Row],[Date]],Quarters[],3,TRUE)</f>
        <v>Q1 2021</v>
      </c>
    </row>
    <row r="197" spans="1:9" x14ac:dyDescent="0.2">
      <c r="A197" s="2" t="s">
        <v>3</v>
      </c>
      <c r="B197" s="10">
        <v>44255</v>
      </c>
      <c r="C197" s="5">
        <v>19729</v>
      </c>
      <c r="D197" s="1">
        <f>LEN(VolumebyClient[[#This Row],[CLID]])</f>
        <v>7</v>
      </c>
      <c r="F197" s="1" t="str">
        <f>INDEX(GeobyClient[GEOID],MATCH(VolumebyClient[[#This Row],[CLID]],GeobyClient[Right],0))</f>
        <v>GEO1001</v>
      </c>
      <c r="G197" s="1" t="str">
        <f>VLOOKUP(VolumebyClient[[#This Row],[Index Match Region ID]],GEONames[[GEOID]:[GEO NAME]],2,FALSE)</f>
        <v>NAM</v>
      </c>
      <c r="H197" s="1" t="str">
        <f>"Q"&amp;ROUNDUP(MONTH(VolumebyClient[[#This Row],[Date]])/3,0)&amp;" "&amp;YEAR(VolumebyClient[[#This Row],[Date]])</f>
        <v>Q1 2021</v>
      </c>
      <c r="I197" s="1" t="str">
        <f>VLOOKUP(VolumebyClient[[#This Row],[Date]],Quarters[],3,TRUE)</f>
        <v>Q1 2021</v>
      </c>
    </row>
    <row r="198" spans="1:9" x14ac:dyDescent="0.2">
      <c r="A198" s="2" t="s">
        <v>3</v>
      </c>
      <c r="B198" s="10">
        <v>44227</v>
      </c>
      <c r="C198" s="5">
        <v>14159</v>
      </c>
      <c r="D198" s="1">
        <f>LEN(VolumebyClient[[#This Row],[CLID]])</f>
        <v>7</v>
      </c>
      <c r="F198" s="1" t="str">
        <f>INDEX(GeobyClient[GEOID],MATCH(VolumebyClient[[#This Row],[CLID]],GeobyClient[Right],0))</f>
        <v>GEO1001</v>
      </c>
      <c r="G198" s="1" t="str">
        <f>VLOOKUP(VolumebyClient[[#This Row],[Index Match Region ID]],GEONames[[GEOID]:[GEO NAME]],2,FALSE)</f>
        <v>NAM</v>
      </c>
      <c r="H198" s="1" t="str">
        <f>"Q"&amp;ROUNDUP(MONTH(VolumebyClient[[#This Row],[Date]])/3,0)&amp;" "&amp;YEAR(VolumebyClient[[#This Row],[Date]])</f>
        <v>Q1 2021</v>
      </c>
      <c r="I198" s="1" t="str">
        <f>VLOOKUP(VolumebyClient[[#This Row],[Date]],Quarters[],3,TRUE)</f>
        <v>Q1 2021</v>
      </c>
    </row>
    <row r="199" spans="1:9" x14ac:dyDescent="0.2">
      <c r="A199" s="2" t="s">
        <v>25</v>
      </c>
      <c r="B199" s="10">
        <v>43890</v>
      </c>
      <c r="C199" s="5">
        <v>815</v>
      </c>
      <c r="D199" s="1">
        <f>LEN(VolumebyClient[[#This Row],[CLID]])</f>
        <v>7</v>
      </c>
      <c r="F199" s="1" t="str">
        <f>INDEX(GeobyClient[GEOID],MATCH(VolumebyClient[[#This Row],[CLID]],GeobyClient[Right],0))</f>
        <v>GEO1002</v>
      </c>
      <c r="G199" s="1" t="str">
        <f>VLOOKUP(VolumebyClient[[#This Row],[Index Match Region ID]],GEONames[[GEOID]:[GEO NAME]],2,FALSE)</f>
        <v>APAC</v>
      </c>
      <c r="H199" s="1" t="str">
        <f>"Q"&amp;ROUNDUP(MONTH(VolumebyClient[[#This Row],[Date]])/3,0)&amp;" "&amp;YEAR(VolumebyClient[[#This Row],[Date]])</f>
        <v>Q1 2020</v>
      </c>
      <c r="I199" s="1" t="str">
        <f>VLOOKUP(VolumebyClient[[#This Row],[Date]],Quarters[],3,TRUE)</f>
        <v>Q1 2020</v>
      </c>
    </row>
    <row r="200" spans="1:9" x14ac:dyDescent="0.2">
      <c r="A200" s="2" t="s">
        <v>25</v>
      </c>
      <c r="B200" s="10">
        <v>43921</v>
      </c>
      <c r="C200" s="5">
        <v>910</v>
      </c>
      <c r="D200" s="1">
        <f>LEN(VolumebyClient[[#This Row],[CLID]])</f>
        <v>7</v>
      </c>
      <c r="F200" s="1" t="str">
        <f>INDEX(GeobyClient[GEOID],MATCH(VolumebyClient[[#This Row],[CLID]],GeobyClient[Right],0))</f>
        <v>GEO1002</v>
      </c>
      <c r="G200" s="1" t="str">
        <f>VLOOKUP(VolumebyClient[[#This Row],[Index Match Region ID]],GEONames[[GEOID]:[GEO NAME]],2,FALSE)</f>
        <v>APAC</v>
      </c>
      <c r="H200" s="1" t="str">
        <f>"Q"&amp;ROUNDUP(MONTH(VolumebyClient[[#This Row],[Date]])/3,0)&amp;" "&amp;YEAR(VolumebyClient[[#This Row],[Date]])</f>
        <v>Q1 2020</v>
      </c>
      <c r="I200" s="1" t="str">
        <f>VLOOKUP(VolumebyClient[[#This Row],[Date]],Quarters[],3,TRUE)</f>
        <v>Q1 2020</v>
      </c>
    </row>
    <row r="201" spans="1:9" x14ac:dyDescent="0.2">
      <c r="A201" s="2" t="s">
        <v>25</v>
      </c>
      <c r="B201" s="10">
        <v>43951</v>
      </c>
      <c r="C201" s="5">
        <v>1091</v>
      </c>
      <c r="D201" s="1">
        <f>LEN(VolumebyClient[[#This Row],[CLID]])</f>
        <v>7</v>
      </c>
      <c r="F201" s="1" t="str">
        <f>INDEX(GeobyClient[GEOID],MATCH(VolumebyClient[[#This Row],[CLID]],GeobyClient[Right],0))</f>
        <v>GEO1002</v>
      </c>
      <c r="G201" s="1" t="str">
        <f>VLOOKUP(VolumebyClient[[#This Row],[Index Match Region ID]],GEONames[[GEOID]:[GEO NAME]],2,FALSE)</f>
        <v>APAC</v>
      </c>
      <c r="H201" s="1" t="str">
        <f>"Q"&amp;ROUNDUP(MONTH(VolumebyClient[[#This Row],[Date]])/3,0)&amp;" "&amp;YEAR(VolumebyClient[[#This Row],[Date]])</f>
        <v>Q2 2020</v>
      </c>
      <c r="I201" s="1" t="str">
        <f>VLOOKUP(VolumebyClient[[#This Row],[Date]],Quarters[],3,TRUE)</f>
        <v>Q2 2020</v>
      </c>
    </row>
    <row r="202" spans="1:9" x14ac:dyDescent="0.2">
      <c r="A202" s="2" t="s">
        <v>25</v>
      </c>
      <c r="B202" s="10">
        <v>43982</v>
      </c>
      <c r="C202" s="5">
        <v>995</v>
      </c>
      <c r="D202" s="1">
        <f>LEN(VolumebyClient[[#This Row],[CLID]])</f>
        <v>7</v>
      </c>
      <c r="F202" s="1" t="str">
        <f>INDEX(GeobyClient[GEOID],MATCH(VolumebyClient[[#This Row],[CLID]],GeobyClient[Right],0))</f>
        <v>GEO1002</v>
      </c>
      <c r="G202" s="1" t="str">
        <f>VLOOKUP(VolumebyClient[[#This Row],[Index Match Region ID]],GEONames[[GEOID]:[GEO NAME]],2,FALSE)</f>
        <v>APAC</v>
      </c>
      <c r="H202" s="1" t="str">
        <f>"Q"&amp;ROUNDUP(MONTH(VolumebyClient[[#This Row],[Date]])/3,0)&amp;" "&amp;YEAR(VolumebyClient[[#This Row],[Date]])</f>
        <v>Q2 2020</v>
      </c>
      <c r="I202" s="1" t="str">
        <f>VLOOKUP(VolumebyClient[[#This Row],[Date]],Quarters[],3,TRUE)</f>
        <v>Q2 2020</v>
      </c>
    </row>
    <row r="203" spans="1:9" x14ac:dyDescent="0.2">
      <c r="A203" s="2" t="s">
        <v>25</v>
      </c>
      <c r="B203" s="10">
        <v>44012</v>
      </c>
      <c r="C203" s="5">
        <v>727</v>
      </c>
      <c r="D203" s="1">
        <f>LEN(VolumebyClient[[#This Row],[CLID]])</f>
        <v>7</v>
      </c>
      <c r="F203" s="1" t="str">
        <f>INDEX(GeobyClient[GEOID],MATCH(VolumebyClient[[#This Row],[CLID]],GeobyClient[Right],0))</f>
        <v>GEO1002</v>
      </c>
      <c r="G203" s="1" t="str">
        <f>VLOOKUP(VolumebyClient[[#This Row],[Index Match Region ID]],GEONames[[GEOID]:[GEO NAME]],2,FALSE)</f>
        <v>APAC</v>
      </c>
      <c r="H203" s="1" t="str">
        <f>"Q"&amp;ROUNDUP(MONTH(VolumebyClient[[#This Row],[Date]])/3,0)&amp;" "&amp;YEAR(VolumebyClient[[#This Row],[Date]])</f>
        <v>Q2 2020</v>
      </c>
      <c r="I203" s="1" t="str">
        <f>VLOOKUP(VolumebyClient[[#This Row],[Date]],Quarters[],3,TRUE)</f>
        <v>Q2 2020</v>
      </c>
    </row>
    <row r="204" spans="1:9" x14ac:dyDescent="0.2">
      <c r="A204" s="2" t="s">
        <v>25</v>
      </c>
      <c r="B204" s="10">
        <v>44043</v>
      </c>
      <c r="C204" s="5">
        <v>635</v>
      </c>
      <c r="D204" s="1">
        <f>LEN(VolumebyClient[[#This Row],[CLID]])</f>
        <v>7</v>
      </c>
      <c r="F204" s="1" t="str">
        <f>INDEX(GeobyClient[GEOID],MATCH(VolumebyClient[[#This Row],[CLID]],GeobyClient[Right],0))</f>
        <v>GEO1002</v>
      </c>
      <c r="G204" s="1" t="str">
        <f>VLOOKUP(VolumebyClient[[#This Row],[Index Match Region ID]],GEONames[[GEOID]:[GEO NAME]],2,FALSE)</f>
        <v>APAC</v>
      </c>
      <c r="H204" s="1" t="str">
        <f>"Q"&amp;ROUNDUP(MONTH(VolumebyClient[[#This Row],[Date]])/3,0)&amp;" "&amp;YEAR(VolumebyClient[[#This Row],[Date]])</f>
        <v>Q3 2020</v>
      </c>
      <c r="I204" s="1" t="str">
        <f>VLOOKUP(VolumebyClient[[#This Row],[Date]],Quarters[],3,TRUE)</f>
        <v>Q3 2020</v>
      </c>
    </row>
    <row r="205" spans="1:9" x14ac:dyDescent="0.2">
      <c r="A205" s="2" t="s">
        <v>25</v>
      </c>
      <c r="B205" s="10">
        <v>44074</v>
      </c>
      <c r="C205" s="5">
        <v>544</v>
      </c>
      <c r="D205" s="1">
        <f>LEN(VolumebyClient[[#This Row],[CLID]])</f>
        <v>7</v>
      </c>
      <c r="F205" s="1" t="str">
        <f>INDEX(GeobyClient[GEOID],MATCH(VolumebyClient[[#This Row],[CLID]],GeobyClient[Right],0))</f>
        <v>GEO1002</v>
      </c>
      <c r="G205" s="1" t="str">
        <f>VLOOKUP(VolumebyClient[[#This Row],[Index Match Region ID]],GEONames[[GEOID]:[GEO NAME]],2,FALSE)</f>
        <v>APAC</v>
      </c>
      <c r="H205" s="1" t="str">
        <f>"Q"&amp;ROUNDUP(MONTH(VolumebyClient[[#This Row],[Date]])/3,0)&amp;" "&amp;YEAR(VolumebyClient[[#This Row],[Date]])</f>
        <v>Q3 2020</v>
      </c>
      <c r="I205" s="1" t="str">
        <f>VLOOKUP(VolumebyClient[[#This Row],[Date]],Quarters[],3,TRUE)</f>
        <v>Q3 2020</v>
      </c>
    </row>
    <row r="206" spans="1:9" x14ac:dyDescent="0.2">
      <c r="A206" s="2" t="s">
        <v>25</v>
      </c>
      <c r="B206" s="10">
        <v>44104</v>
      </c>
      <c r="C206" s="5">
        <v>545</v>
      </c>
      <c r="D206" s="1">
        <f>LEN(VolumebyClient[[#This Row],[CLID]])</f>
        <v>7</v>
      </c>
      <c r="F206" s="1" t="str">
        <f>INDEX(GeobyClient[GEOID],MATCH(VolumebyClient[[#This Row],[CLID]],GeobyClient[Right],0))</f>
        <v>GEO1002</v>
      </c>
      <c r="G206" s="1" t="str">
        <f>VLOOKUP(VolumebyClient[[#This Row],[Index Match Region ID]],GEONames[[GEOID]:[GEO NAME]],2,FALSE)</f>
        <v>APAC</v>
      </c>
      <c r="H206" s="1" t="str">
        <f>"Q"&amp;ROUNDUP(MONTH(VolumebyClient[[#This Row],[Date]])/3,0)&amp;" "&amp;YEAR(VolumebyClient[[#This Row],[Date]])</f>
        <v>Q3 2020</v>
      </c>
      <c r="I206" s="1" t="str">
        <f>VLOOKUP(VolumebyClient[[#This Row],[Date]],Quarters[],3,TRUE)</f>
        <v>Q3 2020</v>
      </c>
    </row>
    <row r="207" spans="1:9" x14ac:dyDescent="0.2">
      <c r="A207" s="2" t="s">
        <v>25</v>
      </c>
      <c r="B207" s="10">
        <v>44135</v>
      </c>
      <c r="C207" s="5">
        <v>637</v>
      </c>
      <c r="D207" s="1">
        <f>LEN(VolumebyClient[[#This Row],[CLID]])</f>
        <v>7</v>
      </c>
      <c r="F207" s="1" t="str">
        <f>INDEX(GeobyClient[GEOID],MATCH(VolumebyClient[[#This Row],[CLID]],GeobyClient[Right],0))</f>
        <v>GEO1002</v>
      </c>
      <c r="G207" s="1" t="str">
        <f>VLOOKUP(VolumebyClient[[#This Row],[Index Match Region ID]],GEONames[[GEOID]:[GEO NAME]],2,FALSE)</f>
        <v>APAC</v>
      </c>
      <c r="H207" s="1" t="str">
        <f>"Q"&amp;ROUNDUP(MONTH(VolumebyClient[[#This Row],[Date]])/3,0)&amp;" "&amp;YEAR(VolumebyClient[[#This Row],[Date]])</f>
        <v>Q4 2020</v>
      </c>
      <c r="I207" s="1" t="str">
        <f>VLOOKUP(VolumebyClient[[#This Row],[Date]],Quarters[],3,TRUE)</f>
        <v>Q4 2020</v>
      </c>
    </row>
    <row r="208" spans="1:9" x14ac:dyDescent="0.2">
      <c r="A208" s="2" t="s">
        <v>25</v>
      </c>
      <c r="B208" s="10">
        <v>44165</v>
      </c>
      <c r="C208" s="5">
        <v>723</v>
      </c>
      <c r="D208" s="1">
        <f>LEN(VolumebyClient[[#This Row],[CLID]])</f>
        <v>7</v>
      </c>
      <c r="F208" s="1" t="str">
        <f>INDEX(GeobyClient[GEOID],MATCH(VolumebyClient[[#This Row],[CLID]],GeobyClient[Right],0))</f>
        <v>GEO1002</v>
      </c>
      <c r="G208" s="1" t="str">
        <f>VLOOKUP(VolumebyClient[[#This Row],[Index Match Region ID]],GEONames[[GEOID]:[GEO NAME]],2,FALSE)</f>
        <v>APAC</v>
      </c>
      <c r="H208" s="1" t="str">
        <f>"Q"&amp;ROUNDUP(MONTH(VolumebyClient[[#This Row],[Date]])/3,0)&amp;" "&amp;YEAR(VolumebyClient[[#This Row],[Date]])</f>
        <v>Q4 2020</v>
      </c>
      <c r="I208" s="1" t="str">
        <f>VLOOKUP(VolumebyClient[[#This Row],[Date]],Quarters[],3,TRUE)</f>
        <v>Q4 2020</v>
      </c>
    </row>
    <row r="209" spans="1:9" x14ac:dyDescent="0.2">
      <c r="A209" s="2" t="s">
        <v>25</v>
      </c>
      <c r="B209" s="10">
        <v>44196</v>
      </c>
      <c r="C209" s="5">
        <v>727</v>
      </c>
      <c r="D209" s="1">
        <f>LEN(VolumebyClient[[#This Row],[CLID]])</f>
        <v>7</v>
      </c>
      <c r="F209" s="1" t="str">
        <f>INDEX(GeobyClient[GEOID],MATCH(VolumebyClient[[#This Row],[CLID]],GeobyClient[Right],0))</f>
        <v>GEO1002</v>
      </c>
      <c r="G209" s="1" t="str">
        <f>VLOOKUP(VolumebyClient[[#This Row],[Index Match Region ID]],GEONames[[GEOID]:[GEO NAME]],2,FALSE)</f>
        <v>APAC</v>
      </c>
      <c r="H209" s="1" t="str">
        <f>"Q"&amp;ROUNDUP(MONTH(VolumebyClient[[#This Row],[Date]])/3,0)&amp;" "&amp;YEAR(VolumebyClient[[#This Row],[Date]])</f>
        <v>Q4 2020</v>
      </c>
      <c r="I209" s="1" t="str">
        <f>VLOOKUP(VolumebyClient[[#This Row],[Date]],Quarters[],3,TRUE)</f>
        <v>Q4 2020</v>
      </c>
    </row>
    <row r="210" spans="1:9" x14ac:dyDescent="0.2">
      <c r="A210" s="2" t="s">
        <v>25</v>
      </c>
      <c r="B210" s="10">
        <v>44377</v>
      </c>
      <c r="C210" s="5">
        <v>722</v>
      </c>
      <c r="D210" s="1">
        <f>LEN(VolumebyClient[[#This Row],[CLID]])</f>
        <v>7</v>
      </c>
      <c r="F210" s="1" t="str">
        <f>INDEX(GeobyClient[GEOID],MATCH(VolumebyClient[[#This Row],[CLID]],GeobyClient[Right],0))</f>
        <v>GEO1002</v>
      </c>
      <c r="G210" s="1" t="str">
        <f>VLOOKUP(VolumebyClient[[#This Row],[Index Match Region ID]],GEONames[[GEOID]:[GEO NAME]],2,FALSE)</f>
        <v>APAC</v>
      </c>
      <c r="H210" s="1" t="str">
        <f>"Q"&amp;ROUNDUP(MONTH(VolumebyClient[[#This Row],[Date]])/3,0)&amp;" "&amp;YEAR(VolumebyClient[[#This Row],[Date]])</f>
        <v>Q2 2021</v>
      </c>
      <c r="I210" s="1" t="str">
        <f>VLOOKUP(VolumebyClient[[#This Row],[Date]],Quarters[],3,TRUE)</f>
        <v>Q2 2021</v>
      </c>
    </row>
    <row r="211" spans="1:9" x14ac:dyDescent="0.2">
      <c r="A211" s="2" t="s">
        <v>25</v>
      </c>
      <c r="B211" s="10">
        <v>44347</v>
      </c>
      <c r="C211" s="5">
        <v>1039</v>
      </c>
      <c r="D211" s="1">
        <f>LEN(VolumebyClient[[#This Row],[CLID]])</f>
        <v>7</v>
      </c>
      <c r="F211" s="1" t="str">
        <f>INDEX(GeobyClient[GEOID],MATCH(VolumebyClient[[#This Row],[CLID]],GeobyClient[Right],0))</f>
        <v>GEO1002</v>
      </c>
      <c r="G211" s="1" t="str">
        <f>VLOOKUP(VolumebyClient[[#This Row],[Index Match Region ID]],GEONames[[GEOID]:[GEO NAME]],2,FALSE)</f>
        <v>APAC</v>
      </c>
      <c r="H211" s="1" t="str">
        <f>"Q"&amp;ROUNDUP(MONTH(VolumebyClient[[#This Row],[Date]])/3,0)&amp;" "&amp;YEAR(VolumebyClient[[#This Row],[Date]])</f>
        <v>Q2 2021</v>
      </c>
      <c r="I211" s="1" t="str">
        <f>VLOOKUP(VolumebyClient[[#This Row],[Date]],Quarters[],3,TRUE)</f>
        <v>Q2 2021</v>
      </c>
    </row>
    <row r="212" spans="1:9" x14ac:dyDescent="0.2">
      <c r="A212" s="2" t="s">
        <v>25</v>
      </c>
      <c r="B212" s="10">
        <v>44316</v>
      </c>
      <c r="C212" s="5">
        <v>1124</v>
      </c>
      <c r="D212" s="1">
        <f>LEN(VolumebyClient[[#This Row],[CLID]])</f>
        <v>7</v>
      </c>
      <c r="F212" s="1" t="str">
        <f>INDEX(GeobyClient[GEOID],MATCH(VolumebyClient[[#This Row],[CLID]],GeobyClient[Right],0))</f>
        <v>GEO1002</v>
      </c>
      <c r="G212" s="1" t="str">
        <f>VLOOKUP(VolumebyClient[[#This Row],[Index Match Region ID]],GEONames[[GEOID]:[GEO NAME]],2,FALSE)</f>
        <v>APAC</v>
      </c>
      <c r="H212" s="1" t="str">
        <f>"Q"&amp;ROUNDUP(MONTH(VolumebyClient[[#This Row],[Date]])/3,0)&amp;" "&amp;YEAR(VolumebyClient[[#This Row],[Date]])</f>
        <v>Q2 2021</v>
      </c>
      <c r="I212" s="1" t="str">
        <f>VLOOKUP(VolumebyClient[[#This Row],[Date]],Quarters[],3,TRUE)</f>
        <v>Q2 2021</v>
      </c>
    </row>
    <row r="213" spans="1:9" x14ac:dyDescent="0.2">
      <c r="A213" s="2" t="s">
        <v>25</v>
      </c>
      <c r="B213" s="10">
        <v>44286</v>
      </c>
      <c r="C213" s="5">
        <v>895</v>
      </c>
      <c r="D213" s="1">
        <f>LEN(VolumebyClient[[#This Row],[CLID]])</f>
        <v>7</v>
      </c>
      <c r="F213" s="1" t="str">
        <f>INDEX(GeobyClient[GEOID],MATCH(VolumebyClient[[#This Row],[CLID]],GeobyClient[Right],0))</f>
        <v>GEO1002</v>
      </c>
      <c r="G213" s="1" t="str">
        <f>VLOOKUP(VolumebyClient[[#This Row],[Index Match Region ID]],GEONames[[GEOID]:[GEO NAME]],2,FALSE)</f>
        <v>APAC</v>
      </c>
      <c r="H213" s="1" t="str">
        <f>"Q"&amp;ROUNDUP(MONTH(VolumebyClient[[#This Row],[Date]])/3,0)&amp;" "&amp;YEAR(VolumebyClient[[#This Row],[Date]])</f>
        <v>Q1 2021</v>
      </c>
      <c r="I213" s="1" t="str">
        <f>VLOOKUP(VolumebyClient[[#This Row],[Date]],Quarters[],3,TRUE)</f>
        <v>Q1 2021</v>
      </c>
    </row>
    <row r="214" spans="1:9" x14ac:dyDescent="0.2">
      <c r="A214" s="2" t="s">
        <v>25</v>
      </c>
      <c r="B214" s="10">
        <v>44255</v>
      </c>
      <c r="C214" s="5">
        <v>851</v>
      </c>
      <c r="D214" s="1">
        <f>LEN(VolumebyClient[[#This Row],[CLID]])</f>
        <v>7</v>
      </c>
      <c r="F214" s="1" t="str">
        <f>INDEX(GeobyClient[GEOID],MATCH(VolumebyClient[[#This Row],[CLID]],GeobyClient[Right],0))</f>
        <v>GEO1002</v>
      </c>
      <c r="G214" s="1" t="str">
        <f>VLOOKUP(VolumebyClient[[#This Row],[Index Match Region ID]],GEONames[[GEOID]:[GEO NAME]],2,FALSE)</f>
        <v>APAC</v>
      </c>
      <c r="H214" s="1" t="str">
        <f>"Q"&amp;ROUNDUP(MONTH(VolumebyClient[[#This Row],[Date]])/3,0)&amp;" "&amp;YEAR(VolumebyClient[[#This Row],[Date]])</f>
        <v>Q1 2021</v>
      </c>
      <c r="I214" s="1" t="str">
        <f>VLOOKUP(VolumebyClient[[#This Row],[Date]],Quarters[],3,TRUE)</f>
        <v>Q1 2021</v>
      </c>
    </row>
    <row r="215" spans="1:9" x14ac:dyDescent="0.2">
      <c r="A215" s="2" t="s">
        <v>25</v>
      </c>
      <c r="B215" s="10">
        <v>44227</v>
      </c>
      <c r="C215" s="5">
        <v>741</v>
      </c>
      <c r="D215" s="1">
        <f>LEN(VolumebyClient[[#This Row],[CLID]])</f>
        <v>7</v>
      </c>
      <c r="F215" s="1" t="str">
        <f>INDEX(GeobyClient[GEOID],MATCH(VolumebyClient[[#This Row],[CLID]],GeobyClient[Right],0))</f>
        <v>GEO1002</v>
      </c>
      <c r="G215" s="1" t="str">
        <f>VLOOKUP(VolumebyClient[[#This Row],[Index Match Region ID]],GEONames[[GEOID]:[GEO NAME]],2,FALSE)</f>
        <v>APAC</v>
      </c>
      <c r="H215" s="1" t="str">
        <f>"Q"&amp;ROUNDUP(MONTH(VolumebyClient[[#This Row],[Date]])/3,0)&amp;" "&amp;YEAR(VolumebyClient[[#This Row],[Date]])</f>
        <v>Q1 2021</v>
      </c>
      <c r="I215" s="1" t="str">
        <f>VLOOKUP(VolumebyClient[[#This Row],[Date]],Quarters[],3,TRUE)</f>
        <v>Q1 2021</v>
      </c>
    </row>
    <row r="216" spans="1:9" x14ac:dyDescent="0.2">
      <c r="A216" s="2" t="s">
        <v>41</v>
      </c>
      <c r="B216" s="10">
        <v>43861</v>
      </c>
      <c r="C216" s="5">
        <v>1172</v>
      </c>
      <c r="D216" s="1">
        <f>LEN(VolumebyClient[[#This Row],[CLID]])</f>
        <v>7</v>
      </c>
      <c r="F216" s="1" t="str">
        <f>INDEX(GeobyClient[GEOID],MATCH(VolumebyClient[[#This Row],[CLID]],GeobyClient[Right],0))</f>
        <v>GEO1004</v>
      </c>
      <c r="G216" s="1" t="str">
        <f>VLOOKUP(VolumebyClient[[#This Row],[Index Match Region ID]],GEONames[[GEOID]:[GEO NAME]],2,FALSE)</f>
        <v>LATAM</v>
      </c>
      <c r="H216" s="1" t="str">
        <f>"Q"&amp;ROUNDUP(MONTH(VolumebyClient[[#This Row],[Date]])/3,0)&amp;" "&amp;YEAR(VolumebyClient[[#This Row],[Date]])</f>
        <v>Q1 2020</v>
      </c>
      <c r="I216" s="1" t="str">
        <f>VLOOKUP(VolumebyClient[[#This Row],[Date]],Quarters[],3,TRUE)</f>
        <v>Q1 2020</v>
      </c>
    </row>
    <row r="217" spans="1:9" x14ac:dyDescent="0.2">
      <c r="A217" s="2" t="s">
        <v>41</v>
      </c>
      <c r="B217" s="10">
        <v>43890</v>
      </c>
      <c r="C217" s="5">
        <v>1483</v>
      </c>
      <c r="D217" s="1">
        <f>LEN(VolumebyClient[[#This Row],[CLID]])</f>
        <v>7</v>
      </c>
      <c r="F217" s="1" t="str">
        <f>INDEX(GeobyClient[GEOID],MATCH(VolumebyClient[[#This Row],[CLID]],GeobyClient[Right],0))</f>
        <v>GEO1004</v>
      </c>
      <c r="G217" s="1" t="str">
        <f>VLOOKUP(VolumebyClient[[#This Row],[Index Match Region ID]],GEONames[[GEOID]:[GEO NAME]],2,FALSE)</f>
        <v>LATAM</v>
      </c>
      <c r="H217" s="1" t="str">
        <f>"Q"&amp;ROUNDUP(MONTH(VolumebyClient[[#This Row],[Date]])/3,0)&amp;" "&amp;YEAR(VolumebyClient[[#This Row],[Date]])</f>
        <v>Q1 2020</v>
      </c>
      <c r="I217" s="1" t="str">
        <f>VLOOKUP(VolumebyClient[[#This Row],[Date]],Quarters[],3,TRUE)</f>
        <v>Q1 2020</v>
      </c>
    </row>
    <row r="218" spans="1:9" x14ac:dyDescent="0.2">
      <c r="A218" s="2" t="s">
        <v>41</v>
      </c>
      <c r="B218" s="10">
        <v>43921</v>
      </c>
      <c r="C218" s="5">
        <v>1484</v>
      </c>
      <c r="D218" s="1">
        <f>LEN(VolumebyClient[[#This Row],[CLID]])</f>
        <v>7</v>
      </c>
      <c r="F218" s="1" t="str">
        <f>INDEX(GeobyClient[GEOID],MATCH(VolumebyClient[[#This Row],[CLID]],GeobyClient[Right],0))</f>
        <v>GEO1004</v>
      </c>
      <c r="G218" s="1" t="str">
        <f>VLOOKUP(VolumebyClient[[#This Row],[Index Match Region ID]],GEONames[[GEOID]:[GEO NAME]],2,FALSE)</f>
        <v>LATAM</v>
      </c>
      <c r="H218" s="1" t="str">
        <f>"Q"&amp;ROUNDUP(MONTH(VolumebyClient[[#This Row],[Date]])/3,0)&amp;" "&amp;YEAR(VolumebyClient[[#This Row],[Date]])</f>
        <v>Q1 2020</v>
      </c>
      <c r="I218" s="1" t="str">
        <f>VLOOKUP(VolumebyClient[[#This Row],[Date]],Quarters[],3,TRUE)</f>
        <v>Q1 2020</v>
      </c>
    </row>
    <row r="219" spans="1:9" x14ac:dyDescent="0.2">
      <c r="A219" s="2" t="s">
        <v>41</v>
      </c>
      <c r="B219" s="10">
        <v>43951</v>
      </c>
      <c r="C219" s="5">
        <v>1949</v>
      </c>
      <c r="D219" s="1">
        <f>LEN(VolumebyClient[[#This Row],[CLID]])</f>
        <v>7</v>
      </c>
      <c r="F219" s="1" t="str">
        <f>INDEX(GeobyClient[GEOID],MATCH(VolumebyClient[[#This Row],[CLID]],GeobyClient[Right],0))</f>
        <v>GEO1004</v>
      </c>
      <c r="G219" s="1" t="str">
        <f>VLOOKUP(VolumebyClient[[#This Row],[Index Match Region ID]],GEONames[[GEOID]:[GEO NAME]],2,FALSE)</f>
        <v>LATAM</v>
      </c>
      <c r="H219" s="1" t="str">
        <f>"Q"&amp;ROUNDUP(MONTH(VolumebyClient[[#This Row],[Date]])/3,0)&amp;" "&amp;YEAR(VolumebyClient[[#This Row],[Date]])</f>
        <v>Q2 2020</v>
      </c>
      <c r="I219" s="1" t="str">
        <f>VLOOKUP(VolumebyClient[[#This Row],[Date]],Quarters[],3,TRUE)</f>
        <v>Q2 2020</v>
      </c>
    </row>
    <row r="220" spans="1:9" x14ac:dyDescent="0.2">
      <c r="A220" s="2" t="s">
        <v>41</v>
      </c>
      <c r="B220" s="10">
        <v>43982</v>
      </c>
      <c r="C220" s="5">
        <v>1635</v>
      </c>
      <c r="D220" s="1">
        <f>LEN(VolumebyClient[[#This Row],[CLID]])</f>
        <v>7</v>
      </c>
      <c r="F220" s="1" t="str">
        <f>INDEX(GeobyClient[GEOID],MATCH(VolumebyClient[[#This Row],[CLID]],GeobyClient[Right],0))</f>
        <v>GEO1004</v>
      </c>
      <c r="G220" s="1" t="str">
        <f>VLOOKUP(VolumebyClient[[#This Row],[Index Match Region ID]],GEONames[[GEOID]:[GEO NAME]],2,FALSE)</f>
        <v>LATAM</v>
      </c>
      <c r="H220" s="1" t="str">
        <f>"Q"&amp;ROUNDUP(MONTH(VolumebyClient[[#This Row],[Date]])/3,0)&amp;" "&amp;YEAR(VolumebyClient[[#This Row],[Date]])</f>
        <v>Q2 2020</v>
      </c>
      <c r="I220" s="1" t="str">
        <f>VLOOKUP(VolumebyClient[[#This Row],[Date]],Quarters[],3,TRUE)</f>
        <v>Q2 2020</v>
      </c>
    </row>
    <row r="221" spans="1:9" x14ac:dyDescent="0.2">
      <c r="A221" s="2" t="s">
        <v>41</v>
      </c>
      <c r="B221" s="10">
        <v>44012</v>
      </c>
      <c r="C221" s="5">
        <v>1326</v>
      </c>
      <c r="D221" s="1">
        <f>LEN(VolumebyClient[[#This Row],[CLID]])</f>
        <v>7</v>
      </c>
      <c r="F221" s="1" t="str">
        <f>INDEX(GeobyClient[GEOID],MATCH(VolumebyClient[[#This Row],[CLID]],GeobyClient[Right],0))</f>
        <v>GEO1004</v>
      </c>
      <c r="G221" s="1" t="str">
        <f>VLOOKUP(VolumebyClient[[#This Row],[Index Match Region ID]],GEONames[[GEOID]:[GEO NAME]],2,FALSE)</f>
        <v>LATAM</v>
      </c>
      <c r="H221" s="1" t="str">
        <f>"Q"&amp;ROUNDUP(MONTH(VolumebyClient[[#This Row],[Date]])/3,0)&amp;" "&amp;YEAR(VolumebyClient[[#This Row],[Date]])</f>
        <v>Q2 2020</v>
      </c>
      <c r="I221" s="1" t="str">
        <f>VLOOKUP(VolumebyClient[[#This Row],[Date]],Quarters[],3,TRUE)</f>
        <v>Q2 2020</v>
      </c>
    </row>
    <row r="222" spans="1:9" x14ac:dyDescent="0.2">
      <c r="A222" s="2" t="s">
        <v>41</v>
      </c>
      <c r="B222" s="10">
        <v>44043</v>
      </c>
      <c r="C222" s="5">
        <v>1012</v>
      </c>
      <c r="D222" s="1">
        <f>LEN(VolumebyClient[[#This Row],[CLID]])</f>
        <v>7</v>
      </c>
      <c r="F222" s="1" t="str">
        <f>INDEX(GeobyClient[GEOID],MATCH(VolumebyClient[[#This Row],[CLID]],GeobyClient[Right],0))</f>
        <v>GEO1004</v>
      </c>
      <c r="G222" s="1" t="str">
        <f>VLOOKUP(VolumebyClient[[#This Row],[Index Match Region ID]],GEONames[[GEOID]:[GEO NAME]],2,FALSE)</f>
        <v>LATAM</v>
      </c>
      <c r="H222" s="1" t="str">
        <f>"Q"&amp;ROUNDUP(MONTH(VolumebyClient[[#This Row],[Date]])/3,0)&amp;" "&amp;YEAR(VolumebyClient[[#This Row],[Date]])</f>
        <v>Q3 2020</v>
      </c>
      <c r="I222" s="1" t="str">
        <f>VLOOKUP(VolumebyClient[[#This Row],[Date]],Quarters[],3,TRUE)</f>
        <v>Q3 2020</v>
      </c>
    </row>
    <row r="223" spans="1:9" x14ac:dyDescent="0.2">
      <c r="A223" s="2" t="s">
        <v>41</v>
      </c>
      <c r="B223" s="10">
        <v>44074</v>
      </c>
      <c r="C223" s="5">
        <v>1018</v>
      </c>
      <c r="D223" s="1">
        <f>LEN(VolumebyClient[[#This Row],[CLID]])</f>
        <v>7</v>
      </c>
      <c r="F223" s="1" t="str">
        <f>INDEX(GeobyClient[GEOID],MATCH(VolumebyClient[[#This Row],[CLID]],GeobyClient[Right],0))</f>
        <v>GEO1004</v>
      </c>
      <c r="G223" s="1" t="str">
        <f>VLOOKUP(VolumebyClient[[#This Row],[Index Match Region ID]],GEONames[[GEOID]:[GEO NAME]],2,FALSE)</f>
        <v>LATAM</v>
      </c>
      <c r="H223" s="1" t="str">
        <f>"Q"&amp;ROUNDUP(MONTH(VolumebyClient[[#This Row],[Date]])/3,0)&amp;" "&amp;YEAR(VolumebyClient[[#This Row],[Date]])</f>
        <v>Q3 2020</v>
      </c>
      <c r="I223" s="1" t="str">
        <f>VLOOKUP(VolumebyClient[[#This Row],[Date]],Quarters[],3,TRUE)</f>
        <v>Q3 2020</v>
      </c>
    </row>
    <row r="224" spans="1:9" x14ac:dyDescent="0.2">
      <c r="A224" s="2" t="s">
        <v>41</v>
      </c>
      <c r="B224" s="10">
        <v>44104</v>
      </c>
      <c r="C224" s="5">
        <v>861</v>
      </c>
      <c r="D224" s="1">
        <f>LEN(VolumebyClient[[#This Row],[CLID]])</f>
        <v>7</v>
      </c>
      <c r="F224" s="1" t="str">
        <f>INDEX(GeobyClient[GEOID],MATCH(VolumebyClient[[#This Row],[CLID]],GeobyClient[Right],0))</f>
        <v>GEO1004</v>
      </c>
      <c r="G224" s="1" t="str">
        <f>VLOOKUP(VolumebyClient[[#This Row],[Index Match Region ID]],GEONames[[GEOID]:[GEO NAME]],2,FALSE)</f>
        <v>LATAM</v>
      </c>
      <c r="H224" s="1" t="str">
        <f>"Q"&amp;ROUNDUP(MONTH(VolumebyClient[[#This Row],[Date]])/3,0)&amp;" "&amp;YEAR(VolumebyClient[[#This Row],[Date]])</f>
        <v>Q3 2020</v>
      </c>
      <c r="I224" s="1" t="str">
        <f>VLOOKUP(VolumebyClient[[#This Row],[Date]],Quarters[],3,TRUE)</f>
        <v>Q3 2020</v>
      </c>
    </row>
    <row r="225" spans="1:9" x14ac:dyDescent="0.2">
      <c r="A225" s="2" t="s">
        <v>41</v>
      </c>
      <c r="B225" s="10">
        <v>44135</v>
      </c>
      <c r="C225" s="5">
        <v>1173</v>
      </c>
      <c r="D225" s="1">
        <f>LEN(VolumebyClient[[#This Row],[CLID]])</f>
        <v>7</v>
      </c>
      <c r="F225" s="1" t="str">
        <f>INDEX(GeobyClient[GEOID],MATCH(VolumebyClient[[#This Row],[CLID]],GeobyClient[Right],0))</f>
        <v>GEO1004</v>
      </c>
      <c r="G225" s="1" t="str">
        <f>VLOOKUP(VolumebyClient[[#This Row],[Index Match Region ID]],GEONames[[GEOID]:[GEO NAME]],2,FALSE)</f>
        <v>LATAM</v>
      </c>
      <c r="H225" s="1" t="str">
        <f>"Q"&amp;ROUNDUP(MONTH(VolumebyClient[[#This Row],[Date]])/3,0)&amp;" "&amp;YEAR(VolumebyClient[[#This Row],[Date]])</f>
        <v>Q4 2020</v>
      </c>
      <c r="I225" s="1" t="str">
        <f>VLOOKUP(VolumebyClient[[#This Row],[Date]],Quarters[],3,TRUE)</f>
        <v>Q4 2020</v>
      </c>
    </row>
    <row r="226" spans="1:9" x14ac:dyDescent="0.2">
      <c r="A226" s="2" t="s">
        <v>41</v>
      </c>
      <c r="B226" s="10">
        <v>44165</v>
      </c>
      <c r="C226" s="5">
        <v>1169</v>
      </c>
      <c r="D226" s="1">
        <f>LEN(VolumebyClient[[#This Row],[CLID]])</f>
        <v>7</v>
      </c>
      <c r="F226" s="1" t="str">
        <f>INDEX(GeobyClient[GEOID],MATCH(VolumebyClient[[#This Row],[CLID]],GeobyClient[Right],0))</f>
        <v>GEO1004</v>
      </c>
      <c r="G226" s="1" t="str">
        <f>VLOOKUP(VolumebyClient[[#This Row],[Index Match Region ID]],GEONames[[GEOID]:[GEO NAME]],2,FALSE)</f>
        <v>LATAM</v>
      </c>
      <c r="H226" s="1" t="str">
        <f>"Q"&amp;ROUNDUP(MONTH(VolumebyClient[[#This Row],[Date]])/3,0)&amp;" "&amp;YEAR(VolumebyClient[[#This Row],[Date]])</f>
        <v>Q4 2020</v>
      </c>
      <c r="I226" s="1" t="str">
        <f>VLOOKUP(VolumebyClient[[#This Row],[Date]],Quarters[],3,TRUE)</f>
        <v>Q4 2020</v>
      </c>
    </row>
    <row r="227" spans="1:9" x14ac:dyDescent="0.2">
      <c r="A227" s="2" t="s">
        <v>41</v>
      </c>
      <c r="B227" s="10">
        <v>44196</v>
      </c>
      <c r="C227" s="5">
        <v>1323</v>
      </c>
      <c r="D227" s="1">
        <f>LEN(VolumebyClient[[#This Row],[CLID]])</f>
        <v>7</v>
      </c>
      <c r="F227" s="1" t="str">
        <f>INDEX(GeobyClient[GEOID],MATCH(VolumebyClient[[#This Row],[CLID]],GeobyClient[Right],0))</f>
        <v>GEO1004</v>
      </c>
      <c r="G227" s="1" t="str">
        <f>VLOOKUP(VolumebyClient[[#This Row],[Index Match Region ID]],GEONames[[GEOID]:[GEO NAME]],2,FALSE)</f>
        <v>LATAM</v>
      </c>
      <c r="H227" s="1" t="str">
        <f>"Q"&amp;ROUNDUP(MONTH(VolumebyClient[[#This Row],[Date]])/3,0)&amp;" "&amp;YEAR(VolumebyClient[[#This Row],[Date]])</f>
        <v>Q4 2020</v>
      </c>
      <c r="I227" s="1" t="str">
        <f>VLOOKUP(VolumebyClient[[#This Row],[Date]],Quarters[],3,TRUE)</f>
        <v>Q4 2020</v>
      </c>
    </row>
    <row r="228" spans="1:9" x14ac:dyDescent="0.2">
      <c r="A228" s="2" t="s">
        <v>41</v>
      </c>
      <c r="B228" s="10">
        <v>44377</v>
      </c>
      <c r="C228" s="5">
        <v>1318</v>
      </c>
      <c r="D228" s="1">
        <f>LEN(VolumebyClient[[#This Row],[CLID]])</f>
        <v>7</v>
      </c>
      <c r="F228" s="1" t="str">
        <f>INDEX(GeobyClient[GEOID],MATCH(VolumebyClient[[#This Row],[CLID]],GeobyClient[Right],0))</f>
        <v>GEO1004</v>
      </c>
      <c r="G228" s="1" t="str">
        <f>VLOOKUP(VolumebyClient[[#This Row],[Index Match Region ID]],GEONames[[GEOID]:[GEO NAME]],2,FALSE)</f>
        <v>LATAM</v>
      </c>
      <c r="H228" s="1" t="str">
        <f>"Q"&amp;ROUNDUP(MONTH(VolumebyClient[[#This Row],[Date]])/3,0)&amp;" "&amp;YEAR(VolumebyClient[[#This Row],[Date]])</f>
        <v>Q2 2021</v>
      </c>
      <c r="I228" s="1" t="str">
        <f>VLOOKUP(VolumebyClient[[#This Row],[Date]],Quarters[],3,TRUE)</f>
        <v>Q2 2021</v>
      </c>
    </row>
    <row r="229" spans="1:9" x14ac:dyDescent="0.2">
      <c r="A229" s="2" t="s">
        <v>41</v>
      </c>
      <c r="B229" s="10">
        <v>44347</v>
      </c>
      <c r="C229" s="5">
        <v>1656</v>
      </c>
      <c r="D229" s="1">
        <f>LEN(VolumebyClient[[#This Row],[CLID]])</f>
        <v>7</v>
      </c>
      <c r="F229" s="1" t="str">
        <f>INDEX(GeobyClient[GEOID],MATCH(VolumebyClient[[#This Row],[CLID]],GeobyClient[Right],0))</f>
        <v>GEO1004</v>
      </c>
      <c r="G229" s="1" t="str">
        <f>VLOOKUP(VolumebyClient[[#This Row],[Index Match Region ID]],GEONames[[GEOID]:[GEO NAME]],2,FALSE)</f>
        <v>LATAM</v>
      </c>
      <c r="H229" s="1" t="str">
        <f>"Q"&amp;ROUNDUP(MONTH(VolumebyClient[[#This Row],[Date]])/3,0)&amp;" "&amp;YEAR(VolumebyClient[[#This Row],[Date]])</f>
        <v>Q2 2021</v>
      </c>
      <c r="I229" s="1" t="str">
        <f>VLOOKUP(VolumebyClient[[#This Row],[Date]],Quarters[],3,TRUE)</f>
        <v>Q2 2021</v>
      </c>
    </row>
    <row r="230" spans="1:9" x14ac:dyDescent="0.2">
      <c r="A230" s="2" t="s">
        <v>41</v>
      </c>
      <c r="B230" s="10">
        <v>44316</v>
      </c>
      <c r="C230" s="5">
        <v>1987</v>
      </c>
      <c r="D230" s="1">
        <f>LEN(VolumebyClient[[#This Row],[CLID]])</f>
        <v>7</v>
      </c>
      <c r="F230" s="1" t="str">
        <f>INDEX(GeobyClient[GEOID],MATCH(VolumebyClient[[#This Row],[CLID]],GeobyClient[Right],0))</f>
        <v>GEO1004</v>
      </c>
      <c r="G230" s="1" t="str">
        <f>VLOOKUP(VolumebyClient[[#This Row],[Index Match Region ID]],GEONames[[GEOID]:[GEO NAME]],2,FALSE)</f>
        <v>LATAM</v>
      </c>
      <c r="H230" s="1" t="str">
        <f>"Q"&amp;ROUNDUP(MONTH(VolumebyClient[[#This Row],[Date]])/3,0)&amp;" "&amp;YEAR(VolumebyClient[[#This Row],[Date]])</f>
        <v>Q2 2021</v>
      </c>
      <c r="I230" s="1" t="str">
        <f>VLOOKUP(VolumebyClient[[#This Row],[Date]],Quarters[],3,TRUE)</f>
        <v>Q2 2021</v>
      </c>
    </row>
    <row r="231" spans="1:9" x14ac:dyDescent="0.2">
      <c r="A231" s="2" t="s">
        <v>41</v>
      </c>
      <c r="B231" s="10">
        <v>44286</v>
      </c>
      <c r="C231" s="5">
        <v>1528</v>
      </c>
      <c r="D231" s="1">
        <f>LEN(VolumebyClient[[#This Row],[CLID]])</f>
        <v>7</v>
      </c>
      <c r="F231" s="1" t="str">
        <f>INDEX(GeobyClient[GEOID],MATCH(VolumebyClient[[#This Row],[CLID]],GeobyClient[Right],0))</f>
        <v>GEO1004</v>
      </c>
      <c r="G231" s="1" t="str">
        <f>VLOOKUP(VolumebyClient[[#This Row],[Index Match Region ID]],GEONames[[GEOID]:[GEO NAME]],2,FALSE)</f>
        <v>LATAM</v>
      </c>
      <c r="H231" s="1" t="str">
        <f>"Q"&amp;ROUNDUP(MONTH(VolumebyClient[[#This Row],[Date]])/3,0)&amp;" "&amp;YEAR(VolumebyClient[[#This Row],[Date]])</f>
        <v>Q1 2021</v>
      </c>
      <c r="I231" s="1" t="str">
        <f>VLOOKUP(VolumebyClient[[#This Row],[Date]],Quarters[],3,TRUE)</f>
        <v>Q1 2021</v>
      </c>
    </row>
    <row r="232" spans="1:9" x14ac:dyDescent="0.2">
      <c r="A232" s="2" t="s">
        <v>41</v>
      </c>
      <c r="B232" s="10">
        <v>44255</v>
      </c>
      <c r="C232" s="5">
        <v>1557</v>
      </c>
      <c r="D232" s="1">
        <f>LEN(VolumebyClient[[#This Row],[CLID]])</f>
        <v>7</v>
      </c>
      <c r="F232" s="1" t="str">
        <f>INDEX(GeobyClient[GEOID],MATCH(VolumebyClient[[#This Row],[CLID]],GeobyClient[Right],0))</f>
        <v>GEO1004</v>
      </c>
      <c r="G232" s="1" t="str">
        <f>VLOOKUP(VolumebyClient[[#This Row],[Index Match Region ID]],GEONames[[GEOID]:[GEO NAME]],2,FALSE)</f>
        <v>LATAM</v>
      </c>
      <c r="H232" s="1" t="str">
        <f>"Q"&amp;ROUNDUP(MONTH(VolumebyClient[[#This Row],[Date]])/3,0)&amp;" "&amp;YEAR(VolumebyClient[[#This Row],[Date]])</f>
        <v>Q1 2021</v>
      </c>
      <c r="I232" s="1" t="str">
        <f>VLOOKUP(VolumebyClient[[#This Row],[Date]],Quarters[],3,TRUE)</f>
        <v>Q1 2021</v>
      </c>
    </row>
    <row r="233" spans="1:9" x14ac:dyDescent="0.2">
      <c r="A233" s="2" t="s">
        <v>41</v>
      </c>
      <c r="B233" s="10">
        <v>44227</v>
      </c>
      <c r="C233" s="5">
        <v>1183</v>
      </c>
      <c r="D233" s="1">
        <f>LEN(VolumebyClient[[#This Row],[CLID]])</f>
        <v>7</v>
      </c>
      <c r="F233" s="1" t="str">
        <f>INDEX(GeobyClient[GEOID],MATCH(VolumebyClient[[#This Row],[CLID]],GeobyClient[Right],0))</f>
        <v>GEO1004</v>
      </c>
      <c r="G233" s="1" t="str">
        <f>VLOOKUP(VolumebyClient[[#This Row],[Index Match Region ID]],GEONames[[GEOID]:[GEO NAME]],2,FALSE)</f>
        <v>LATAM</v>
      </c>
      <c r="H233" s="1" t="str">
        <f>"Q"&amp;ROUNDUP(MONTH(VolumebyClient[[#This Row],[Date]])/3,0)&amp;" "&amp;YEAR(VolumebyClient[[#This Row],[Date]])</f>
        <v>Q1 2021</v>
      </c>
      <c r="I233" s="1" t="str">
        <f>VLOOKUP(VolumebyClient[[#This Row],[Date]],Quarters[],3,TRUE)</f>
        <v>Q1 2021</v>
      </c>
    </row>
    <row r="234" spans="1:9" x14ac:dyDescent="0.2">
      <c r="A234" s="2" t="s">
        <v>21</v>
      </c>
      <c r="B234" s="10">
        <v>43861</v>
      </c>
      <c r="C234" s="5">
        <v>11332</v>
      </c>
      <c r="D234" s="1">
        <f>LEN(VolumebyClient[[#This Row],[CLID]])</f>
        <v>7</v>
      </c>
      <c r="F234" s="1" t="str">
        <f>INDEX(GeobyClient[GEOID],MATCH(VolumebyClient[[#This Row],[CLID]],GeobyClient[Right],0))</f>
        <v>GEO1001</v>
      </c>
      <c r="G234" s="1" t="str">
        <f>VLOOKUP(VolumebyClient[[#This Row],[Index Match Region ID]],GEONames[[GEOID]:[GEO NAME]],2,FALSE)</f>
        <v>NAM</v>
      </c>
      <c r="H234" s="1" t="str">
        <f>"Q"&amp;ROUNDUP(MONTH(VolumebyClient[[#This Row],[Date]])/3,0)&amp;" "&amp;YEAR(VolumebyClient[[#This Row],[Date]])</f>
        <v>Q1 2020</v>
      </c>
      <c r="I234" s="1" t="str">
        <f>VLOOKUP(VolumebyClient[[#This Row],[Date]],Quarters[],3,TRUE)</f>
        <v>Q1 2020</v>
      </c>
    </row>
    <row r="235" spans="1:9" x14ac:dyDescent="0.2">
      <c r="A235" s="2" t="s">
        <v>21</v>
      </c>
      <c r="B235" s="10">
        <v>43890</v>
      </c>
      <c r="C235" s="5">
        <v>12748</v>
      </c>
      <c r="D235" s="1">
        <f>LEN(VolumebyClient[[#This Row],[CLID]])</f>
        <v>7</v>
      </c>
      <c r="F235" s="1" t="str">
        <f>INDEX(GeobyClient[GEOID],MATCH(VolumebyClient[[#This Row],[CLID]],GeobyClient[Right],0))</f>
        <v>GEO1001</v>
      </c>
      <c r="G235" s="1" t="str">
        <f>VLOOKUP(VolumebyClient[[#This Row],[Index Match Region ID]],GEONames[[GEOID]:[GEO NAME]],2,FALSE)</f>
        <v>NAM</v>
      </c>
      <c r="H235" s="1" t="str">
        <f>"Q"&amp;ROUNDUP(MONTH(VolumebyClient[[#This Row],[Date]])/3,0)&amp;" "&amp;YEAR(VolumebyClient[[#This Row],[Date]])</f>
        <v>Q1 2020</v>
      </c>
      <c r="I235" s="1" t="str">
        <f>VLOOKUP(VolumebyClient[[#This Row],[Date]],Quarters[],3,TRUE)</f>
        <v>Q1 2020</v>
      </c>
    </row>
    <row r="236" spans="1:9" x14ac:dyDescent="0.2">
      <c r="A236" s="2" t="s">
        <v>21</v>
      </c>
      <c r="B236" s="10">
        <v>43921</v>
      </c>
      <c r="C236" s="5">
        <v>14162</v>
      </c>
      <c r="D236" s="1">
        <f>LEN(VolumebyClient[[#This Row],[CLID]])</f>
        <v>7</v>
      </c>
      <c r="F236" s="1" t="str">
        <f>INDEX(GeobyClient[GEOID],MATCH(VolumebyClient[[#This Row],[CLID]],GeobyClient[Right],0))</f>
        <v>GEO1001</v>
      </c>
      <c r="G236" s="1" t="str">
        <f>VLOOKUP(VolumebyClient[[#This Row],[Index Match Region ID]],GEONames[[GEOID]:[GEO NAME]],2,FALSE)</f>
        <v>NAM</v>
      </c>
      <c r="H236" s="1" t="str">
        <f>"Q"&amp;ROUNDUP(MONTH(VolumebyClient[[#This Row],[Date]])/3,0)&amp;" "&amp;YEAR(VolumebyClient[[#This Row],[Date]])</f>
        <v>Q1 2020</v>
      </c>
      <c r="I236" s="1" t="str">
        <f>VLOOKUP(VolumebyClient[[#This Row],[Date]],Quarters[],3,TRUE)</f>
        <v>Q1 2020</v>
      </c>
    </row>
    <row r="237" spans="1:9" x14ac:dyDescent="0.2">
      <c r="A237" s="2" t="s">
        <v>21</v>
      </c>
      <c r="B237" s="10">
        <v>43951</v>
      </c>
      <c r="C237" s="5">
        <v>16992</v>
      </c>
      <c r="D237" s="1">
        <f>LEN(VolumebyClient[[#This Row],[CLID]])</f>
        <v>7</v>
      </c>
      <c r="F237" s="1" t="str">
        <f>INDEX(GeobyClient[GEOID],MATCH(VolumebyClient[[#This Row],[CLID]],GeobyClient[Right],0))</f>
        <v>GEO1001</v>
      </c>
      <c r="G237" s="1" t="str">
        <f>VLOOKUP(VolumebyClient[[#This Row],[Index Match Region ID]],GEONames[[GEOID]:[GEO NAME]],2,FALSE)</f>
        <v>NAM</v>
      </c>
      <c r="H237" s="1" t="str">
        <f>"Q"&amp;ROUNDUP(MONTH(VolumebyClient[[#This Row],[Date]])/3,0)&amp;" "&amp;YEAR(VolumebyClient[[#This Row],[Date]])</f>
        <v>Q2 2020</v>
      </c>
      <c r="I237" s="1" t="str">
        <f>VLOOKUP(VolumebyClient[[#This Row],[Date]],Quarters[],3,TRUE)</f>
        <v>Q2 2020</v>
      </c>
    </row>
    <row r="238" spans="1:9" x14ac:dyDescent="0.2">
      <c r="A238" s="2" t="s">
        <v>21</v>
      </c>
      <c r="B238" s="10">
        <v>43982</v>
      </c>
      <c r="C238" s="5">
        <v>15578</v>
      </c>
      <c r="D238" s="1">
        <f>LEN(VolumebyClient[[#This Row],[CLID]])</f>
        <v>7</v>
      </c>
      <c r="F238" s="1" t="str">
        <f>INDEX(GeobyClient[GEOID],MATCH(VolumebyClient[[#This Row],[CLID]],GeobyClient[Right],0))</f>
        <v>GEO1001</v>
      </c>
      <c r="G238" s="1" t="str">
        <f>VLOOKUP(VolumebyClient[[#This Row],[Index Match Region ID]],GEONames[[GEOID]:[GEO NAME]],2,FALSE)</f>
        <v>NAM</v>
      </c>
      <c r="H238" s="1" t="str">
        <f>"Q"&amp;ROUNDUP(MONTH(VolumebyClient[[#This Row],[Date]])/3,0)&amp;" "&amp;YEAR(VolumebyClient[[#This Row],[Date]])</f>
        <v>Q2 2020</v>
      </c>
      <c r="I238" s="1" t="str">
        <f>VLOOKUP(VolumebyClient[[#This Row],[Date]],Quarters[],3,TRUE)</f>
        <v>Q2 2020</v>
      </c>
    </row>
    <row r="239" spans="1:9" x14ac:dyDescent="0.2">
      <c r="A239" s="2" t="s">
        <v>21</v>
      </c>
      <c r="B239" s="10">
        <v>44012</v>
      </c>
      <c r="C239" s="5">
        <v>11330</v>
      </c>
      <c r="D239" s="1">
        <f>LEN(VolumebyClient[[#This Row],[CLID]])</f>
        <v>7</v>
      </c>
      <c r="F239" s="1" t="str">
        <f>INDEX(GeobyClient[GEOID],MATCH(VolumebyClient[[#This Row],[CLID]],GeobyClient[Right],0))</f>
        <v>GEO1001</v>
      </c>
      <c r="G239" s="1" t="str">
        <f>VLOOKUP(VolumebyClient[[#This Row],[Index Match Region ID]],GEONames[[GEOID]:[GEO NAME]],2,FALSE)</f>
        <v>NAM</v>
      </c>
      <c r="H239" s="1" t="str">
        <f>"Q"&amp;ROUNDUP(MONTH(VolumebyClient[[#This Row],[Date]])/3,0)&amp;" "&amp;YEAR(VolumebyClient[[#This Row],[Date]])</f>
        <v>Q2 2020</v>
      </c>
      <c r="I239" s="1" t="str">
        <f>VLOOKUP(VolumebyClient[[#This Row],[Date]],Quarters[],3,TRUE)</f>
        <v>Q2 2020</v>
      </c>
    </row>
    <row r="240" spans="1:9" x14ac:dyDescent="0.2">
      <c r="A240" s="2" t="s">
        <v>21</v>
      </c>
      <c r="B240" s="10">
        <v>44043</v>
      </c>
      <c r="C240" s="5">
        <v>9912</v>
      </c>
      <c r="D240" s="1">
        <f>LEN(VolumebyClient[[#This Row],[CLID]])</f>
        <v>7</v>
      </c>
      <c r="F240" s="1" t="str">
        <f>INDEX(GeobyClient[GEOID],MATCH(VolumebyClient[[#This Row],[CLID]],GeobyClient[Right],0))</f>
        <v>GEO1001</v>
      </c>
      <c r="G240" s="1" t="str">
        <f>VLOOKUP(VolumebyClient[[#This Row],[Index Match Region ID]],GEONames[[GEOID]:[GEO NAME]],2,FALSE)</f>
        <v>NAM</v>
      </c>
      <c r="H240" s="1" t="str">
        <f>"Q"&amp;ROUNDUP(MONTH(VolumebyClient[[#This Row],[Date]])/3,0)&amp;" "&amp;YEAR(VolumebyClient[[#This Row],[Date]])</f>
        <v>Q3 2020</v>
      </c>
      <c r="I240" s="1" t="str">
        <f>VLOOKUP(VolumebyClient[[#This Row],[Date]],Quarters[],3,TRUE)</f>
        <v>Q3 2020</v>
      </c>
    </row>
    <row r="241" spans="1:9" x14ac:dyDescent="0.2">
      <c r="A241" s="2" t="s">
        <v>21</v>
      </c>
      <c r="B241" s="10">
        <v>44074</v>
      </c>
      <c r="C241" s="5">
        <v>8496</v>
      </c>
      <c r="D241" s="1">
        <f>LEN(VolumebyClient[[#This Row],[CLID]])</f>
        <v>7</v>
      </c>
      <c r="F241" s="1" t="str">
        <f>INDEX(GeobyClient[GEOID],MATCH(VolumebyClient[[#This Row],[CLID]],GeobyClient[Right],0))</f>
        <v>GEO1001</v>
      </c>
      <c r="G241" s="1" t="str">
        <f>VLOOKUP(VolumebyClient[[#This Row],[Index Match Region ID]],GEONames[[GEOID]:[GEO NAME]],2,FALSE)</f>
        <v>NAM</v>
      </c>
      <c r="H241" s="1" t="str">
        <f>"Q"&amp;ROUNDUP(MONTH(VolumebyClient[[#This Row],[Date]])/3,0)&amp;" "&amp;YEAR(VolumebyClient[[#This Row],[Date]])</f>
        <v>Q3 2020</v>
      </c>
      <c r="I241" s="1" t="str">
        <f>VLOOKUP(VolumebyClient[[#This Row],[Date]],Quarters[],3,TRUE)</f>
        <v>Q3 2020</v>
      </c>
    </row>
    <row r="242" spans="1:9" x14ac:dyDescent="0.2">
      <c r="A242" s="2" t="s">
        <v>21</v>
      </c>
      <c r="B242" s="10">
        <v>44104</v>
      </c>
      <c r="C242" s="5">
        <v>8502</v>
      </c>
      <c r="D242" s="1">
        <f>LEN(VolumebyClient[[#This Row],[CLID]])</f>
        <v>7</v>
      </c>
      <c r="F242" s="1" t="str">
        <f>INDEX(GeobyClient[GEOID],MATCH(VolumebyClient[[#This Row],[CLID]],GeobyClient[Right],0))</f>
        <v>GEO1001</v>
      </c>
      <c r="G242" s="1" t="str">
        <f>VLOOKUP(VolumebyClient[[#This Row],[Index Match Region ID]],GEONames[[GEOID]:[GEO NAME]],2,FALSE)</f>
        <v>NAM</v>
      </c>
      <c r="H242" s="1" t="str">
        <f>"Q"&amp;ROUNDUP(MONTH(VolumebyClient[[#This Row],[Date]])/3,0)&amp;" "&amp;YEAR(VolumebyClient[[#This Row],[Date]])</f>
        <v>Q3 2020</v>
      </c>
      <c r="I242" s="1" t="str">
        <f>VLOOKUP(VolumebyClient[[#This Row],[Date]],Quarters[],3,TRUE)</f>
        <v>Q3 2020</v>
      </c>
    </row>
    <row r="243" spans="1:9" x14ac:dyDescent="0.2">
      <c r="A243" s="2" t="s">
        <v>21</v>
      </c>
      <c r="B243" s="10">
        <v>44135</v>
      </c>
      <c r="C243" s="5">
        <v>9917</v>
      </c>
      <c r="D243" s="1">
        <f>LEN(VolumebyClient[[#This Row],[CLID]])</f>
        <v>7</v>
      </c>
      <c r="F243" s="1" t="str">
        <f>INDEX(GeobyClient[GEOID],MATCH(VolumebyClient[[#This Row],[CLID]],GeobyClient[Right],0))</f>
        <v>GEO1001</v>
      </c>
      <c r="G243" s="1" t="str">
        <f>VLOOKUP(VolumebyClient[[#This Row],[Index Match Region ID]],GEONames[[GEOID]:[GEO NAME]],2,FALSE)</f>
        <v>NAM</v>
      </c>
      <c r="H243" s="1" t="str">
        <f>"Q"&amp;ROUNDUP(MONTH(VolumebyClient[[#This Row],[Date]])/3,0)&amp;" "&amp;YEAR(VolumebyClient[[#This Row],[Date]])</f>
        <v>Q4 2020</v>
      </c>
      <c r="I243" s="1" t="str">
        <f>VLOOKUP(VolumebyClient[[#This Row],[Date]],Quarters[],3,TRUE)</f>
        <v>Q4 2020</v>
      </c>
    </row>
    <row r="244" spans="1:9" x14ac:dyDescent="0.2">
      <c r="A244" s="2" t="s">
        <v>21</v>
      </c>
      <c r="B244" s="10">
        <v>44165</v>
      </c>
      <c r="C244" s="5">
        <v>11330</v>
      </c>
      <c r="D244" s="1">
        <f>LEN(VolumebyClient[[#This Row],[CLID]])</f>
        <v>7</v>
      </c>
      <c r="F244" s="1" t="str">
        <f>INDEX(GeobyClient[GEOID],MATCH(VolumebyClient[[#This Row],[CLID]],GeobyClient[Right],0))</f>
        <v>GEO1001</v>
      </c>
      <c r="G244" s="1" t="str">
        <f>VLOOKUP(VolumebyClient[[#This Row],[Index Match Region ID]],GEONames[[GEOID]:[GEO NAME]],2,FALSE)</f>
        <v>NAM</v>
      </c>
      <c r="H244" s="1" t="str">
        <f>"Q"&amp;ROUNDUP(MONTH(VolumebyClient[[#This Row],[Date]])/3,0)&amp;" "&amp;YEAR(VolumebyClient[[#This Row],[Date]])</f>
        <v>Q4 2020</v>
      </c>
      <c r="I244" s="1" t="str">
        <f>VLOOKUP(VolumebyClient[[#This Row],[Date]],Quarters[],3,TRUE)</f>
        <v>Q4 2020</v>
      </c>
    </row>
    <row r="245" spans="1:9" x14ac:dyDescent="0.2">
      <c r="A245" s="2" t="s">
        <v>21</v>
      </c>
      <c r="B245" s="10">
        <v>44196</v>
      </c>
      <c r="C245" s="5">
        <v>11328</v>
      </c>
      <c r="D245" s="1">
        <f>LEN(VolumebyClient[[#This Row],[CLID]])</f>
        <v>7</v>
      </c>
      <c r="F245" s="1" t="str">
        <f>INDEX(GeobyClient[GEOID],MATCH(VolumebyClient[[#This Row],[CLID]],GeobyClient[Right],0))</f>
        <v>GEO1001</v>
      </c>
      <c r="G245" s="1" t="str">
        <f>VLOOKUP(VolumebyClient[[#This Row],[Index Match Region ID]],GEONames[[GEOID]:[GEO NAME]],2,FALSE)</f>
        <v>NAM</v>
      </c>
      <c r="H245" s="1" t="str">
        <f>"Q"&amp;ROUNDUP(MONTH(VolumebyClient[[#This Row],[Date]])/3,0)&amp;" "&amp;YEAR(VolumebyClient[[#This Row],[Date]])</f>
        <v>Q4 2020</v>
      </c>
      <c r="I245" s="1" t="str">
        <f>VLOOKUP(VolumebyClient[[#This Row],[Date]],Quarters[],3,TRUE)</f>
        <v>Q4 2020</v>
      </c>
    </row>
    <row r="246" spans="1:9" x14ac:dyDescent="0.2">
      <c r="A246" s="2" t="s">
        <v>21</v>
      </c>
      <c r="B246" s="10">
        <v>44377</v>
      </c>
      <c r="C246" s="5">
        <v>11781</v>
      </c>
      <c r="D246" s="1">
        <f>LEN(VolumebyClient[[#This Row],[CLID]])</f>
        <v>7</v>
      </c>
      <c r="F246" s="1" t="str">
        <f>INDEX(GeobyClient[GEOID],MATCH(VolumebyClient[[#This Row],[CLID]],GeobyClient[Right],0))</f>
        <v>GEO1001</v>
      </c>
      <c r="G246" s="1" t="str">
        <f>VLOOKUP(VolumebyClient[[#This Row],[Index Match Region ID]],GEONames[[GEOID]:[GEO NAME]],2,FALSE)</f>
        <v>NAM</v>
      </c>
      <c r="H246" s="1" t="str">
        <f>"Q"&amp;ROUNDUP(MONTH(VolumebyClient[[#This Row],[Date]])/3,0)&amp;" "&amp;YEAR(VolumebyClient[[#This Row],[Date]])</f>
        <v>Q2 2021</v>
      </c>
      <c r="I246" s="1" t="str">
        <f>VLOOKUP(VolumebyClient[[#This Row],[Date]],Quarters[],3,TRUE)</f>
        <v>Q2 2021</v>
      </c>
    </row>
    <row r="247" spans="1:9" x14ac:dyDescent="0.2">
      <c r="A247" s="2" t="s">
        <v>21</v>
      </c>
      <c r="B247" s="10">
        <v>44347</v>
      </c>
      <c r="C247" s="5">
        <v>15424</v>
      </c>
      <c r="D247" s="1">
        <f>LEN(VolumebyClient[[#This Row],[CLID]])</f>
        <v>7</v>
      </c>
      <c r="F247" s="1" t="str">
        <f>INDEX(GeobyClient[GEOID],MATCH(VolumebyClient[[#This Row],[CLID]],GeobyClient[Right],0))</f>
        <v>GEO1001</v>
      </c>
      <c r="G247" s="1" t="str">
        <f>VLOOKUP(VolumebyClient[[#This Row],[Index Match Region ID]],GEONames[[GEOID]:[GEO NAME]],2,FALSE)</f>
        <v>NAM</v>
      </c>
      <c r="H247" s="1" t="str">
        <f>"Q"&amp;ROUNDUP(MONTH(VolumebyClient[[#This Row],[Date]])/3,0)&amp;" "&amp;YEAR(VolumebyClient[[#This Row],[Date]])</f>
        <v>Q2 2021</v>
      </c>
      <c r="I247" s="1" t="str">
        <f>VLOOKUP(VolumebyClient[[#This Row],[Date]],Quarters[],3,TRUE)</f>
        <v>Q2 2021</v>
      </c>
    </row>
    <row r="248" spans="1:9" x14ac:dyDescent="0.2">
      <c r="A248" s="2" t="s">
        <v>21</v>
      </c>
      <c r="B248" s="10">
        <v>44316</v>
      </c>
      <c r="C248" s="5">
        <v>16906</v>
      </c>
      <c r="D248" s="1">
        <f>LEN(VolumebyClient[[#This Row],[CLID]])</f>
        <v>7</v>
      </c>
      <c r="F248" s="1" t="str">
        <f>INDEX(GeobyClient[GEOID],MATCH(VolumebyClient[[#This Row],[CLID]],GeobyClient[Right],0))</f>
        <v>GEO1001</v>
      </c>
      <c r="G248" s="1" t="str">
        <f>VLOOKUP(VolumebyClient[[#This Row],[Index Match Region ID]],GEONames[[GEOID]:[GEO NAME]],2,FALSE)</f>
        <v>NAM</v>
      </c>
      <c r="H248" s="1" t="str">
        <f>"Q"&amp;ROUNDUP(MONTH(VolumebyClient[[#This Row],[Date]])/3,0)&amp;" "&amp;YEAR(VolumebyClient[[#This Row],[Date]])</f>
        <v>Q2 2021</v>
      </c>
      <c r="I248" s="1" t="str">
        <f>VLOOKUP(VolumebyClient[[#This Row],[Date]],Quarters[],3,TRUE)</f>
        <v>Q2 2021</v>
      </c>
    </row>
    <row r="249" spans="1:9" x14ac:dyDescent="0.2">
      <c r="A249" s="2" t="s">
        <v>21</v>
      </c>
      <c r="B249" s="10">
        <v>44286</v>
      </c>
      <c r="C249" s="5">
        <v>14020</v>
      </c>
      <c r="D249" s="1">
        <f>LEN(VolumebyClient[[#This Row],[CLID]])</f>
        <v>7</v>
      </c>
      <c r="F249" s="1" t="str">
        <f>INDEX(GeobyClient[GEOID],MATCH(VolumebyClient[[#This Row],[CLID]],GeobyClient[Right],0))</f>
        <v>GEO1001</v>
      </c>
      <c r="G249" s="1" t="str">
        <f>VLOOKUP(VolumebyClient[[#This Row],[Index Match Region ID]],GEONames[[GEOID]:[GEO NAME]],2,FALSE)</f>
        <v>NAM</v>
      </c>
      <c r="H249" s="1" t="str">
        <f>"Q"&amp;ROUNDUP(MONTH(VolumebyClient[[#This Row],[Date]])/3,0)&amp;" "&amp;YEAR(VolumebyClient[[#This Row],[Date]])</f>
        <v>Q1 2021</v>
      </c>
      <c r="I249" s="1" t="str">
        <f>VLOOKUP(VolumebyClient[[#This Row],[Date]],Quarters[],3,TRUE)</f>
        <v>Q1 2021</v>
      </c>
    </row>
    <row r="250" spans="1:9" x14ac:dyDescent="0.2">
      <c r="A250" s="2" t="s">
        <v>21</v>
      </c>
      <c r="B250" s="10">
        <v>44255</v>
      </c>
      <c r="C250" s="5">
        <v>13386</v>
      </c>
      <c r="D250" s="1">
        <f>LEN(VolumebyClient[[#This Row],[CLID]])</f>
        <v>7</v>
      </c>
      <c r="F250" s="1" t="str">
        <f>INDEX(GeobyClient[GEOID],MATCH(VolumebyClient[[#This Row],[CLID]],GeobyClient[Right],0))</f>
        <v>GEO1001</v>
      </c>
      <c r="G250" s="1" t="str">
        <f>VLOOKUP(VolumebyClient[[#This Row],[Index Match Region ID]],GEONames[[GEOID]:[GEO NAME]],2,FALSE)</f>
        <v>NAM</v>
      </c>
      <c r="H250" s="1" t="str">
        <f>"Q"&amp;ROUNDUP(MONTH(VolumebyClient[[#This Row],[Date]])/3,0)&amp;" "&amp;YEAR(VolumebyClient[[#This Row],[Date]])</f>
        <v>Q1 2021</v>
      </c>
      <c r="I250" s="1" t="str">
        <f>VLOOKUP(VolumebyClient[[#This Row],[Date]],Quarters[],3,TRUE)</f>
        <v>Q1 2021</v>
      </c>
    </row>
    <row r="251" spans="1:9" x14ac:dyDescent="0.2">
      <c r="A251" s="2" t="s">
        <v>21</v>
      </c>
      <c r="B251" s="10">
        <v>44227</v>
      </c>
      <c r="C251" s="5">
        <v>11896</v>
      </c>
      <c r="D251" s="1">
        <f>LEN(VolumebyClient[[#This Row],[CLID]])</f>
        <v>7</v>
      </c>
      <c r="F251" s="1" t="str">
        <f>INDEX(GeobyClient[GEOID],MATCH(VolumebyClient[[#This Row],[CLID]],GeobyClient[Right],0))</f>
        <v>GEO1001</v>
      </c>
      <c r="G251" s="1" t="str">
        <f>VLOOKUP(VolumebyClient[[#This Row],[Index Match Region ID]],GEONames[[GEOID]:[GEO NAME]],2,FALSE)</f>
        <v>NAM</v>
      </c>
      <c r="H251" s="1" t="str">
        <f>"Q"&amp;ROUNDUP(MONTH(VolumebyClient[[#This Row],[Date]])/3,0)&amp;" "&amp;YEAR(VolumebyClient[[#This Row],[Date]])</f>
        <v>Q1 2021</v>
      </c>
      <c r="I251" s="1" t="str">
        <f>VLOOKUP(VolumebyClient[[#This Row],[Date]],Quarters[],3,TRUE)</f>
        <v>Q1 2021</v>
      </c>
    </row>
    <row r="252" spans="1:9" x14ac:dyDescent="0.2">
      <c r="A252" s="2" t="s">
        <v>14</v>
      </c>
      <c r="B252" s="10">
        <v>43861</v>
      </c>
      <c r="C252" s="5">
        <v>358</v>
      </c>
      <c r="D252" s="1">
        <f>LEN(VolumebyClient[[#This Row],[CLID]])</f>
        <v>7</v>
      </c>
      <c r="F252" s="1" t="str">
        <f>INDEX(GeobyClient[GEOID],MATCH(VolumebyClient[[#This Row],[CLID]],GeobyClient[Right],0))</f>
        <v>GEO1004</v>
      </c>
      <c r="G252" s="1" t="str">
        <f>VLOOKUP(VolumebyClient[[#This Row],[Index Match Region ID]],GEONames[[GEOID]:[GEO NAME]],2,FALSE)</f>
        <v>LATAM</v>
      </c>
      <c r="H252" s="1" t="str">
        <f>"Q"&amp;ROUNDUP(MONTH(VolumebyClient[[#This Row],[Date]])/3,0)&amp;" "&amp;YEAR(VolumebyClient[[#This Row],[Date]])</f>
        <v>Q1 2020</v>
      </c>
      <c r="I252" s="1" t="str">
        <f>VLOOKUP(VolumebyClient[[#This Row],[Date]],Quarters[],3,TRUE)</f>
        <v>Q1 2020</v>
      </c>
    </row>
    <row r="253" spans="1:9" x14ac:dyDescent="0.2">
      <c r="A253" s="2" t="s">
        <v>14</v>
      </c>
      <c r="B253" s="10">
        <v>43890</v>
      </c>
      <c r="C253" s="5">
        <v>508</v>
      </c>
      <c r="D253" s="1">
        <f>LEN(VolumebyClient[[#This Row],[CLID]])</f>
        <v>7</v>
      </c>
      <c r="F253" s="1" t="str">
        <f>INDEX(GeobyClient[GEOID],MATCH(VolumebyClient[[#This Row],[CLID]],GeobyClient[Right],0))</f>
        <v>GEO1004</v>
      </c>
      <c r="G253" s="1" t="str">
        <f>VLOOKUP(VolumebyClient[[#This Row],[Index Match Region ID]],GEONames[[GEOID]:[GEO NAME]],2,FALSE)</f>
        <v>LATAM</v>
      </c>
      <c r="H253" s="1" t="str">
        <f>"Q"&amp;ROUNDUP(MONTH(VolumebyClient[[#This Row],[Date]])/3,0)&amp;" "&amp;YEAR(VolumebyClient[[#This Row],[Date]])</f>
        <v>Q1 2020</v>
      </c>
      <c r="I253" s="1" t="str">
        <f>VLOOKUP(VolumebyClient[[#This Row],[Date]],Quarters[],3,TRUE)</f>
        <v>Q1 2020</v>
      </c>
    </row>
    <row r="254" spans="1:9" x14ac:dyDescent="0.2">
      <c r="A254" s="2" t="s">
        <v>14</v>
      </c>
      <c r="B254" s="10">
        <v>43921</v>
      </c>
      <c r="C254" s="5">
        <v>458</v>
      </c>
      <c r="D254" s="1">
        <f>LEN(VolumebyClient[[#This Row],[CLID]])</f>
        <v>7</v>
      </c>
      <c r="F254" s="1" t="str">
        <f>INDEX(GeobyClient[GEOID],MATCH(VolumebyClient[[#This Row],[CLID]],GeobyClient[Right],0))</f>
        <v>GEO1004</v>
      </c>
      <c r="G254" s="1" t="str">
        <f>VLOOKUP(VolumebyClient[[#This Row],[Index Match Region ID]],GEONames[[GEOID]:[GEO NAME]],2,FALSE)</f>
        <v>LATAM</v>
      </c>
      <c r="H254" s="1" t="str">
        <f>"Q"&amp;ROUNDUP(MONTH(VolumebyClient[[#This Row],[Date]])/3,0)&amp;" "&amp;YEAR(VolumebyClient[[#This Row],[Date]])</f>
        <v>Q1 2020</v>
      </c>
      <c r="I254" s="1" t="str">
        <f>VLOOKUP(VolumebyClient[[#This Row],[Date]],Quarters[],3,TRUE)</f>
        <v>Q1 2020</v>
      </c>
    </row>
    <row r="255" spans="1:9" x14ac:dyDescent="0.2">
      <c r="A255" s="2" t="s">
        <v>14</v>
      </c>
      <c r="B255" s="10">
        <v>43951</v>
      </c>
      <c r="C255" s="5">
        <v>655</v>
      </c>
      <c r="D255" s="1">
        <f>LEN(VolumebyClient[[#This Row],[CLID]])</f>
        <v>7</v>
      </c>
      <c r="F255" s="1" t="str">
        <f>INDEX(GeobyClient[GEOID],MATCH(VolumebyClient[[#This Row],[CLID]],GeobyClient[Right],0))</f>
        <v>GEO1004</v>
      </c>
      <c r="G255" s="1" t="str">
        <f>VLOOKUP(VolumebyClient[[#This Row],[Index Match Region ID]],GEONames[[GEOID]:[GEO NAME]],2,FALSE)</f>
        <v>LATAM</v>
      </c>
      <c r="H255" s="1" t="str">
        <f>"Q"&amp;ROUNDUP(MONTH(VolumebyClient[[#This Row],[Date]])/3,0)&amp;" "&amp;YEAR(VolumebyClient[[#This Row],[Date]])</f>
        <v>Q2 2020</v>
      </c>
      <c r="I255" s="1" t="str">
        <f>VLOOKUP(VolumebyClient[[#This Row],[Date]],Quarters[],3,TRUE)</f>
        <v>Q2 2020</v>
      </c>
    </row>
    <row r="256" spans="1:9" x14ac:dyDescent="0.2">
      <c r="A256" s="2" t="s">
        <v>14</v>
      </c>
      <c r="B256" s="10">
        <v>43982</v>
      </c>
      <c r="C256" s="5">
        <v>506</v>
      </c>
      <c r="D256" s="1">
        <f>LEN(VolumebyClient[[#This Row],[CLID]])</f>
        <v>7</v>
      </c>
      <c r="F256" s="1" t="str">
        <f>INDEX(GeobyClient[GEOID],MATCH(VolumebyClient[[#This Row],[CLID]],GeobyClient[Right],0))</f>
        <v>GEO1004</v>
      </c>
      <c r="G256" s="1" t="str">
        <f>VLOOKUP(VolumebyClient[[#This Row],[Index Match Region ID]],GEONames[[GEOID]:[GEO NAME]],2,FALSE)</f>
        <v>LATAM</v>
      </c>
      <c r="H256" s="1" t="str">
        <f>"Q"&amp;ROUNDUP(MONTH(VolumebyClient[[#This Row],[Date]])/3,0)&amp;" "&amp;YEAR(VolumebyClient[[#This Row],[Date]])</f>
        <v>Q2 2020</v>
      </c>
      <c r="I256" s="1" t="str">
        <f>VLOOKUP(VolumebyClient[[#This Row],[Date]],Quarters[],3,TRUE)</f>
        <v>Q2 2020</v>
      </c>
    </row>
    <row r="257" spans="1:9" x14ac:dyDescent="0.2">
      <c r="A257" s="2" t="s">
        <v>14</v>
      </c>
      <c r="B257" s="10">
        <v>44012</v>
      </c>
      <c r="C257" s="5">
        <v>458</v>
      </c>
      <c r="D257" s="1">
        <f>LEN(VolumebyClient[[#This Row],[CLID]])</f>
        <v>7</v>
      </c>
      <c r="F257" s="1" t="str">
        <f>INDEX(GeobyClient[GEOID],MATCH(VolumebyClient[[#This Row],[CLID]],GeobyClient[Right],0))</f>
        <v>GEO1004</v>
      </c>
      <c r="G257" s="1" t="str">
        <f>VLOOKUP(VolumebyClient[[#This Row],[Index Match Region ID]],GEONames[[GEOID]:[GEO NAME]],2,FALSE)</f>
        <v>LATAM</v>
      </c>
      <c r="H257" s="1" t="str">
        <f>"Q"&amp;ROUNDUP(MONTH(VolumebyClient[[#This Row],[Date]])/3,0)&amp;" "&amp;YEAR(VolumebyClient[[#This Row],[Date]])</f>
        <v>Q2 2020</v>
      </c>
      <c r="I257" s="1" t="str">
        <f>VLOOKUP(VolumebyClient[[#This Row],[Date]],Quarters[],3,TRUE)</f>
        <v>Q2 2020</v>
      </c>
    </row>
    <row r="258" spans="1:9" x14ac:dyDescent="0.2">
      <c r="A258" s="2" t="s">
        <v>14</v>
      </c>
      <c r="B258" s="10">
        <v>44043</v>
      </c>
      <c r="C258" s="5">
        <v>308</v>
      </c>
      <c r="D258" s="1">
        <f>LEN(VolumebyClient[[#This Row],[CLID]])</f>
        <v>7</v>
      </c>
      <c r="F258" s="1" t="str">
        <f>INDEX(GeobyClient[GEOID],MATCH(VolumebyClient[[#This Row],[CLID]],GeobyClient[Right],0))</f>
        <v>GEO1004</v>
      </c>
      <c r="G258" s="1" t="str">
        <f>VLOOKUP(VolumebyClient[[#This Row],[Index Match Region ID]],GEONames[[GEOID]:[GEO NAME]],2,FALSE)</f>
        <v>LATAM</v>
      </c>
      <c r="H258" s="1" t="str">
        <f>"Q"&amp;ROUNDUP(MONTH(VolumebyClient[[#This Row],[Date]])/3,0)&amp;" "&amp;YEAR(VolumebyClient[[#This Row],[Date]])</f>
        <v>Q3 2020</v>
      </c>
      <c r="I258" s="1" t="str">
        <f>VLOOKUP(VolumebyClient[[#This Row],[Date]],Quarters[],3,TRUE)</f>
        <v>Q3 2020</v>
      </c>
    </row>
    <row r="259" spans="1:9" x14ac:dyDescent="0.2">
      <c r="A259" s="2" t="s">
        <v>14</v>
      </c>
      <c r="B259" s="10">
        <v>44074</v>
      </c>
      <c r="C259" s="5">
        <v>353</v>
      </c>
      <c r="D259" s="1">
        <f>LEN(VolumebyClient[[#This Row],[CLID]])</f>
        <v>7</v>
      </c>
      <c r="F259" s="1" t="str">
        <f>INDEX(GeobyClient[GEOID],MATCH(VolumebyClient[[#This Row],[CLID]],GeobyClient[Right],0))</f>
        <v>GEO1004</v>
      </c>
      <c r="G259" s="1" t="str">
        <f>VLOOKUP(VolumebyClient[[#This Row],[Index Match Region ID]],GEONames[[GEOID]:[GEO NAME]],2,FALSE)</f>
        <v>LATAM</v>
      </c>
      <c r="H259" s="1" t="str">
        <f>"Q"&amp;ROUNDUP(MONTH(VolumebyClient[[#This Row],[Date]])/3,0)&amp;" "&amp;YEAR(VolumebyClient[[#This Row],[Date]])</f>
        <v>Q3 2020</v>
      </c>
      <c r="I259" s="1" t="str">
        <f>VLOOKUP(VolumebyClient[[#This Row],[Date]],Quarters[],3,TRUE)</f>
        <v>Q3 2020</v>
      </c>
    </row>
    <row r="260" spans="1:9" x14ac:dyDescent="0.2">
      <c r="A260" s="2" t="s">
        <v>14</v>
      </c>
      <c r="B260" s="10">
        <v>44104</v>
      </c>
      <c r="C260" s="5">
        <v>252</v>
      </c>
      <c r="D260" s="1">
        <f>LEN(VolumebyClient[[#This Row],[CLID]])</f>
        <v>7</v>
      </c>
      <c r="F260" s="1" t="str">
        <f>INDEX(GeobyClient[GEOID],MATCH(VolumebyClient[[#This Row],[CLID]],GeobyClient[Right],0))</f>
        <v>GEO1004</v>
      </c>
      <c r="G260" s="1" t="str">
        <f>VLOOKUP(VolumebyClient[[#This Row],[Index Match Region ID]],GEONames[[GEOID]:[GEO NAME]],2,FALSE)</f>
        <v>LATAM</v>
      </c>
      <c r="H260" s="1" t="str">
        <f>"Q"&amp;ROUNDUP(MONTH(VolumebyClient[[#This Row],[Date]])/3,0)&amp;" "&amp;YEAR(VolumebyClient[[#This Row],[Date]])</f>
        <v>Q3 2020</v>
      </c>
      <c r="I260" s="1" t="str">
        <f>VLOOKUP(VolumebyClient[[#This Row],[Date]],Quarters[],3,TRUE)</f>
        <v>Q3 2020</v>
      </c>
    </row>
    <row r="261" spans="1:9" x14ac:dyDescent="0.2">
      <c r="A261" s="2" t="s">
        <v>14</v>
      </c>
      <c r="B261" s="10">
        <v>44135</v>
      </c>
      <c r="C261" s="5">
        <v>402</v>
      </c>
      <c r="D261" s="1">
        <f>LEN(VolumebyClient[[#This Row],[CLID]])</f>
        <v>7</v>
      </c>
      <c r="F261" s="1" t="str">
        <f>INDEX(GeobyClient[GEOID],MATCH(VolumebyClient[[#This Row],[CLID]],GeobyClient[Right],0))</f>
        <v>GEO1004</v>
      </c>
      <c r="G261" s="1" t="str">
        <f>VLOOKUP(VolumebyClient[[#This Row],[Index Match Region ID]],GEONames[[GEOID]:[GEO NAME]],2,FALSE)</f>
        <v>LATAM</v>
      </c>
      <c r="H261" s="1" t="str">
        <f>"Q"&amp;ROUNDUP(MONTH(VolumebyClient[[#This Row],[Date]])/3,0)&amp;" "&amp;YEAR(VolumebyClient[[#This Row],[Date]])</f>
        <v>Q4 2020</v>
      </c>
      <c r="I261" s="1" t="str">
        <f>VLOOKUP(VolumebyClient[[#This Row],[Date]],Quarters[],3,TRUE)</f>
        <v>Q4 2020</v>
      </c>
    </row>
    <row r="262" spans="1:9" x14ac:dyDescent="0.2">
      <c r="A262" s="2" t="s">
        <v>14</v>
      </c>
      <c r="B262" s="10">
        <v>44165</v>
      </c>
      <c r="C262" s="5">
        <v>352</v>
      </c>
      <c r="D262" s="1">
        <f>LEN(VolumebyClient[[#This Row],[CLID]])</f>
        <v>7</v>
      </c>
      <c r="F262" s="1" t="str">
        <f>INDEX(GeobyClient[GEOID],MATCH(VolumebyClient[[#This Row],[CLID]],GeobyClient[Right],0))</f>
        <v>GEO1004</v>
      </c>
      <c r="G262" s="1" t="str">
        <f>VLOOKUP(VolumebyClient[[#This Row],[Index Match Region ID]],GEONames[[GEOID]:[GEO NAME]],2,FALSE)</f>
        <v>LATAM</v>
      </c>
      <c r="H262" s="1" t="str">
        <f>"Q"&amp;ROUNDUP(MONTH(VolumebyClient[[#This Row],[Date]])/3,0)&amp;" "&amp;YEAR(VolumebyClient[[#This Row],[Date]])</f>
        <v>Q4 2020</v>
      </c>
      <c r="I262" s="1" t="str">
        <f>VLOOKUP(VolumebyClient[[#This Row],[Date]],Quarters[],3,TRUE)</f>
        <v>Q4 2020</v>
      </c>
    </row>
    <row r="263" spans="1:9" x14ac:dyDescent="0.2">
      <c r="A263" s="2" t="s">
        <v>14</v>
      </c>
      <c r="B263" s="10">
        <v>44196</v>
      </c>
      <c r="C263" s="5">
        <v>457</v>
      </c>
      <c r="D263" s="1">
        <f>LEN(VolumebyClient[[#This Row],[CLID]])</f>
        <v>7</v>
      </c>
      <c r="F263" s="1" t="str">
        <f>INDEX(GeobyClient[GEOID],MATCH(VolumebyClient[[#This Row],[CLID]],GeobyClient[Right],0))</f>
        <v>GEO1004</v>
      </c>
      <c r="G263" s="1" t="str">
        <f>VLOOKUP(VolumebyClient[[#This Row],[Index Match Region ID]],GEONames[[GEOID]:[GEO NAME]],2,FALSE)</f>
        <v>LATAM</v>
      </c>
      <c r="H263" s="1" t="str">
        <f>"Q"&amp;ROUNDUP(MONTH(VolumebyClient[[#This Row],[Date]])/3,0)&amp;" "&amp;YEAR(VolumebyClient[[#This Row],[Date]])</f>
        <v>Q4 2020</v>
      </c>
      <c r="I263" s="1" t="str">
        <f>VLOOKUP(VolumebyClient[[#This Row],[Date]],Quarters[],3,TRUE)</f>
        <v>Q4 2020</v>
      </c>
    </row>
    <row r="264" spans="1:9" x14ac:dyDescent="0.2">
      <c r="A264" s="2" t="s">
        <v>14</v>
      </c>
      <c r="B264" s="10">
        <v>44377</v>
      </c>
      <c r="C264" s="5">
        <v>472</v>
      </c>
      <c r="D264" s="1">
        <f>LEN(VolumebyClient[[#This Row],[CLID]])</f>
        <v>7</v>
      </c>
      <c r="F264" s="1" t="str">
        <f>INDEX(GeobyClient[GEOID],MATCH(VolumebyClient[[#This Row],[CLID]],GeobyClient[Right],0))</f>
        <v>GEO1004</v>
      </c>
      <c r="G264" s="1" t="str">
        <f>VLOOKUP(VolumebyClient[[#This Row],[Index Match Region ID]],GEONames[[GEOID]:[GEO NAME]],2,FALSE)</f>
        <v>LATAM</v>
      </c>
      <c r="H264" s="1" t="str">
        <f>"Q"&amp;ROUNDUP(MONTH(VolumebyClient[[#This Row],[Date]])/3,0)&amp;" "&amp;YEAR(VolumebyClient[[#This Row],[Date]])</f>
        <v>Q2 2021</v>
      </c>
      <c r="I264" s="1" t="str">
        <f>VLOOKUP(VolumebyClient[[#This Row],[Date]],Quarters[],3,TRUE)</f>
        <v>Q2 2021</v>
      </c>
    </row>
    <row r="265" spans="1:9" x14ac:dyDescent="0.2">
      <c r="A265" s="2" t="s">
        <v>14</v>
      </c>
      <c r="B265" s="10">
        <v>44347</v>
      </c>
      <c r="C265" s="5">
        <v>499</v>
      </c>
      <c r="D265" s="1">
        <f>LEN(VolumebyClient[[#This Row],[CLID]])</f>
        <v>7</v>
      </c>
      <c r="F265" s="1" t="str">
        <f>INDEX(GeobyClient[GEOID],MATCH(VolumebyClient[[#This Row],[CLID]],GeobyClient[Right],0))</f>
        <v>GEO1004</v>
      </c>
      <c r="G265" s="1" t="str">
        <f>VLOOKUP(VolumebyClient[[#This Row],[Index Match Region ID]],GEONames[[GEOID]:[GEO NAME]],2,FALSE)</f>
        <v>LATAM</v>
      </c>
      <c r="H265" s="1" t="str">
        <f>"Q"&amp;ROUNDUP(MONTH(VolumebyClient[[#This Row],[Date]])/3,0)&amp;" "&amp;YEAR(VolumebyClient[[#This Row],[Date]])</f>
        <v>Q2 2021</v>
      </c>
      <c r="I265" s="1" t="str">
        <f>VLOOKUP(VolumebyClient[[#This Row],[Date]],Quarters[],3,TRUE)</f>
        <v>Q2 2021</v>
      </c>
    </row>
    <row r="266" spans="1:9" x14ac:dyDescent="0.2">
      <c r="A266" s="2" t="s">
        <v>14</v>
      </c>
      <c r="B266" s="10">
        <v>44316</v>
      </c>
      <c r="C266" s="5">
        <v>665</v>
      </c>
      <c r="D266" s="1">
        <f>LEN(VolumebyClient[[#This Row],[CLID]])</f>
        <v>7</v>
      </c>
      <c r="F266" s="1" t="str">
        <f>INDEX(GeobyClient[GEOID],MATCH(VolumebyClient[[#This Row],[CLID]],GeobyClient[Right],0))</f>
        <v>GEO1004</v>
      </c>
      <c r="G266" s="1" t="str">
        <f>VLOOKUP(VolumebyClient[[#This Row],[Index Match Region ID]],GEONames[[GEOID]:[GEO NAME]],2,FALSE)</f>
        <v>LATAM</v>
      </c>
      <c r="H266" s="1" t="str">
        <f>"Q"&amp;ROUNDUP(MONTH(VolumebyClient[[#This Row],[Date]])/3,0)&amp;" "&amp;YEAR(VolumebyClient[[#This Row],[Date]])</f>
        <v>Q2 2021</v>
      </c>
      <c r="I266" s="1" t="str">
        <f>VLOOKUP(VolumebyClient[[#This Row],[Date]],Quarters[],3,TRUE)</f>
        <v>Q2 2021</v>
      </c>
    </row>
    <row r="267" spans="1:9" x14ac:dyDescent="0.2">
      <c r="A267" s="2" t="s">
        <v>14</v>
      </c>
      <c r="B267" s="10">
        <v>44286</v>
      </c>
      <c r="C267" s="5">
        <v>459</v>
      </c>
      <c r="D267" s="1">
        <f>LEN(VolumebyClient[[#This Row],[CLID]])</f>
        <v>7</v>
      </c>
      <c r="F267" s="1" t="str">
        <f>INDEX(GeobyClient[GEOID],MATCH(VolumebyClient[[#This Row],[CLID]],GeobyClient[Right],0))</f>
        <v>GEO1004</v>
      </c>
      <c r="G267" s="1" t="str">
        <f>VLOOKUP(VolumebyClient[[#This Row],[Index Match Region ID]],GEONames[[GEOID]:[GEO NAME]],2,FALSE)</f>
        <v>LATAM</v>
      </c>
      <c r="H267" s="1" t="str">
        <f>"Q"&amp;ROUNDUP(MONTH(VolumebyClient[[#This Row],[Date]])/3,0)&amp;" "&amp;YEAR(VolumebyClient[[#This Row],[Date]])</f>
        <v>Q1 2021</v>
      </c>
      <c r="I267" s="1" t="str">
        <f>VLOOKUP(VolumebyClient[[#This Row],[Date]],Quarters[],3,TRUE)</f>
        <v>Q1 2021</v>
      </c>
    </row>
    <row r="268" spans="1:9" x14ac:dyDescent="0.2">
      <c r="A268" s="2" t="s">
        <v>14</v>
      </c>
      <c r="B268" s="10">
        <v>44255</v>
      </c>
      <c r="C268" s="5">
        <v>519</v>
      </c>
      <c r="D268" s="1">
        <f>LEN(VolumebyClient[[#This Row],[CLID]])</f>
        <v>7</v>
      </c>
      <c r="F268" s="1" t="str">
        <f>INDEX(GeobyClient[GEOID],MATCH(VolumebyClient[[#This Row],[CLID]],GeobyClient[Right],0))</f>
        <v>GEO1004</v>
      </c>
      <c r="G268" s="1" t="str">
        <f>VLOOKUP(VolumebyClient[[#This Row],[Index Match Region ID]],GEONames[[GEOID]:[GEO NAME]],2,FALSE)</f>
        <v>LATAM</v>
      </c>
      <c r="H268" s="1" t="str">
        <f>"Q"&amp;ROUNDUP(MONTH(VolumebyClient[[#This Row],[Date]])/3,0)&amp;" "&amp;YEAR(VolumebyClient[[#This Row],[Date]])</f>
        <v>Q1 2021</v>
      </c>
      <c r="I268" s="1" t="str">
        <f>VLOOKUP(VolumebyClient[[#This Row],[Date]],Quarters[],3,TRUE)</f>
        <v>Q1 2021</v>
      </c>
    </row>
    <row r="269" spans="1:9" x14ac:dyDescent="0.2">
      <c r="A269" s="2" t="s">
        <v>14</v>
      </c>
      <c r="B269" s="10">
        <v>44227</v>
      </c>
      <c r="C269" s="5">
        <v>358</v>
      </c>
      <c r="D269" s="1">
        <f>LEN(VolumebyClient[[#This Row],[CLID]])</f>
        <v>7</v>
      </c>
      <c r="F269" s="1" t="str">
        <f>INDEX(GeobyClient[GEOID],MATCH(VolumebyClient[[#This Row],[CLID]],GeobyClient[Right],0))</f>
        <v>GEO1004</v>
      </c>
      <c r="G269" s="1" t="str">
        <f>VLOOKUP(VolumebyClient[[#This Row],[Index Match Region ID]],GEONames[[GEOID]:[GEO NAME]],2,FALSE)</f>
        <v>LATAM</v>
      </c>
      <c r="H269" s="1" t="str">
        <f>"Q"&amp;ROUNDUP(MONTH(VolumebyClient[[#This Row],[Date]])/3,0)&amp;" "&amp;YEAR(VolumebyClient[[#This Row],[Date]])</f>
        <v>Q1 2021</v>
      </c>
      <c r="I269" s="1" t="str">
        <f>VLOOKUP(VolumebyClient[[#This Row],[Date]],Quarters[],3,TRUE)</f>
        <v>Q1 2021</v>
      </c>
    </row>
    <row r="270" spans="1:9" x14ac:dyDescent="0.2">
      <c r="A270" s="2" t="s">
        <v>17</v>
      </c>
      <c r="B270" s="10">
        <v>43861</v>
      </c>
      <c r="C270" s="5">
        <v>20394</v>
      </c>
      <c r="D270" s="1">
        <f>LEN(VolumebyClient[[#This Row],[CLID]])</f>
        <v>7</v>
      </c>
      <c r="F270" s="1" t="str">
        <f>INDEX(GeobyClient[GEOID],MATCH(VolumebyClient[[#This Row],[CLID]],GeobyClient[Right],0))</f>
        <v>GEO1001</v>
      </c>
      <c r="G270" s="1" t="str">
        <f>VLOOKUP(VolumebyClient[[#This Row],[Index Match Region ID]],GEONames[[GEOID]:[GEO NAME]],2,FALSE)</f>
        <v>NAM</v>
      </c>
      <c r="H270" s="1" t="str">
        <f>"Q"&amp;ROUNDUP(MONTH(VolumebyClient[[#This Row],[Date]])/3,0)&amp;" "&amp;YEAR(VolumebyClient[[#This Row],[Date]])</f>
        <v>Q1 2020</v>
      </c>
      <c r="I270" s="1" t="str">
        <f>VLOOKUP(VolumebyClient[[#This Row],[Date]],Quarters[],3,TRUE)</f>
        <v>Q1 2020</v>
      </c>
    </row>
    <row r="271" spans="1:9" x14ac:dyDescent="0.2">
      <c r="A271" s="2" t="s">
        <v>17</v>
      </c>
      <c r="B271" s="10">
        <v>43890</v>
      </c>
      <c r="C271" s="5">
        <v>22941</v>
      </c>
      <c r="D271" s="1">
        <f>LEN(VolumebyClient[[#This Row],[CLID]])</f>
        <v>7</v>
      </c>
      <c r="F271" s="1" t="str">
        <f>INDEX(GeobyClient[GEOID],MATCH(VolumebyClient[[#This Row],[CLID]],GeobyClient[Right],0))</f>
        <v>GEO1001</v>
      </c>
      <c r="G271" s="1" t="str">
        <f>VLOOKUP(VolumebyClient[[#This Row],[Index Match Region ID]],GEONames[[GEOID]:[GEO NAME]],2,FALSE)</f>
        <v>NAM</v>
      </c>
      <c r="H271" s="1" t="str">
        <f>"Q"&amp;ROUNDUP(MONTH(VolumebyClient[[#This Row],[Date]])/3,0)&amp;" "&amp;YEAR(VolumebyClient[[#This Row],[Date]])</f>
        <v>Q1 2020</v>
      </c>
      <c r="I271" s="1" t="str">
        <f>VLOOKUP(VolumebyClient[[#This Row],[Date]],Quarters[],3,TRUE)</f>
        <v>Q1 2020</v>
      </c>
    </row>
    <row r="272" spans="1:9" x14ac:dyDescent="0.2">
      <c r="A272" s="2" t="s">
        <v>17</v>
      </c>
      <c r="B272" s="10">
        <v>43921</v>
      </c>
      <c r="C272" s="5">
        <v>25487</v>
      </c>
      <c r="D272" s="1">
        <f>LEN(VolumebyClient[[#This Row],[CLID]])</f>
        <v>7</v>
      </c>
      <c r="F272" s="1" t="str">
        <f>INDEX(GeobyClient[GEOID],MATCH(VolumebyClient[[#This Row],[CLID]],GeobyClient[Right],0))</f>
        <v>GEO1001</v>
      </c>
      <c r="G272" s="1" t="str">
        <f>VLOOKUP(VolumebyClient[[#This Row],[Index Match Region ID]],GEONames[[GEOID]:[GEO NAME]],2,FALSE)</f>
        <v>NAM</v>
      </c>
      <c r="H272" s="1" t="str">
        <f>"Q"&amp;ROUNDUP(MONTH(VolumebyClient[[#This Row],[Date]])/3,0)&amp;" "&amp;YEAR(VolumebyClient[[#This Row],[Date]])</f>
        <v>Q1 2020</v>
      </c>
      <c r="I272" s="1" t="str">
        <f>VLOOKUP(VolumebyClient[[#This Row],[Date]],Quarters[],3,TRUE)</f>
        <v>Q1 2020</v>
      </c>
    </row>
    <row r="273" spans="1:9" x14ac:dyDescent="0.2">
      <c r="A273" s="2" t="s">
        <v>17</v>
      </c>
      <c r="B273" s="10">
        <v>43951</v>
      </c>
      <c r="C273" s="5">
        <v>30586</v>
      </c>
      <c r="D273" s="1">
        <f>LEN(VolumebyClient[[#This Row],[CLID]])</f>
        <v>7</v>
      </c>
      <c r="F273" s="1" t="str">
        <f>INDEX(GeobyClient[GEOID],MATCH(VolumebyClient[[#This Row],[CLID]],GeobyClient[Right],0))</f>
        <v>GEO1001</v>
      </c>
      <c r="G273" s="1" t="str">
        <f>VLOOKUP(VolumebyClient[[#This Row],[Index Match Region ID]],GEONames[[GEOID]:[GEO NAME]],2,FALSE)</f>
        <v>NAM</v>
      </c>
      <c r="H273" s="1" t="str">
        <f>"Q"&amp;ROUNDUP(MONTH(VolumebyClient[[#This Row],[Date]])/3,0)&amp;" "&amp;YEAR(VolumebyClient[[#This Row],[Date]])</f>
        <v>Q2 2020</v>
      </c>
      <c r="I273" s="1" t="str">
        <f>VLOOKUP(VolumebyClient[[#This Row],[Date]],Quarters[],3,TRUE)</f>
        <v>Q2 2020</v>
      </c>
    </row>
    <row r="274" spans="1:9" x14ac:dyDescent="0.2">
      <c r="A274" s="2" t="s">
        <v>17</v>
      </c>
      <c r="B274" s="10">
        <v>43982</v>
      </c>
      <c r="C274" s="5">
        <v>28040</v>
      </c>
      <c r="D274" s="1">
        <f>LEN(VolumebyClient[[#This Row],[CLID]])</f>
        <v>7</v>
      </c>
      <c r="F274" s="1" t="str">
        <f>INDEX(GeobyClient[GEOID],MATCH(VolumebyClient[[#This Row],[CLID]],GeobyClient[Right],0))</f>
        <v>GEO1001</v>
      </c>
      <c r="G274" s="1" t="str">
        <f>VLOOKUP(VolumebyClient[[#This Row],[Index Match Region ID]],GEONames[[GEOID]:[GEO NAME]],2,FALSE)</f>
        <v>NAM</v>
      </c>
      <c r="H274" s="1" t="str">
        <f>"Q"&amp;ROUNDUP(MONTH(VolumebyClient[[#This Row],[Date]])/3,0)&amp;" "&amp;YEAR(VolumebyClient[[#This Row],[Date]])</f>
        <v>Q2 2020</v>
      </c>
      <c r="I274" s="1" t="str">
        <f>VLOOKUP(VolumebyClient[[#This Row],[Date]],Quarters[],3,TRUE)</f>
        <v>Q2 2020</v>
      </c>
    </row>
    <row r="275" spans="1:9" x14ac:dyDescent="0.2">
      <c r="A275" s="2" t="s">
        <v>17</v>
      </c>
      <c r="B275" s="10">
        <v>44012</v>
      </c>
      <c r="C275" s="5">
        <v>20393</v>
      </c>
      <c r="D275" s="1">
        <f>LEN(VolumebyClient[[#This Row],[CLID]])</f>
        <v>7</v>
      </c>
      <c r="F275" s="1" t="str">
        <f>INDEX(GeobyClient[GEOID],MATCH(VolumebyClient[[#This Row],[CLID]],GeobyClient[Right],0))</f>
        <v>GEO1001</v>
      </c>
      <c r="G275" s="1" t="str">
        <f>VLOOKUP(VolumebyClient[[#This Row],[Index Match Region ID]],GEONames[[GEOID]:[GEO NAME]],2,FALSE)</f>
        <v>NAM</v>
      </c>
      <c r="H275" s="1" t="str">
        <f>"Q"&amp;ROUNDUP(MONTH(VolumebyClient[[#This Row],[Date]])/3,0)&amp;" "&amp;YEAR(VolumebyClient[[#This Row],[Date]])</f>
        <v>Q2 2020</v>
      </c>
      <c r="I275" s="1" t="str">
        <f>VLOOKUP(VolumebyClient[[#This Row],[Date]],Quarters[],3,TRUE)</f>
        <v>Q2 2020</v>
      </c>
    </row>
    <row r="276" spans="1:9" x14ac:dyDescent="0.2">
      <c r="A276" s="2" t="s">
        <v>17</v>
      </c>
      <c r="B276" s="10">
        <v>44043</v>
      </c>
      <c r="C276" s="5">
        <v>17841</v>
      </c>
      <c r="D276" s="1">
        <f>LEN(VolumebyClient[[#This Row],[CLID]])</f>
        <v>7</v>
      </c>
      <c r="F276" s="1" t="str">
        <f>INDEX(GeobyClient[GEOID],MATCH(VolumebyClient[[#This Row],[CLID]],GeobyClient[Right],0))</f>
        <v>GEO1001</v>
      </c>
      <c r="G276" s="1" t="str">
        <f>VLOOKUP(VolumebyClient[[#This Row],[Index Match Region ID]],GEONames[[GEOID]:[GEO NAME]],2,FALSE)</f>
        <v>NAM</v>
      </c>
      <c r="H276" s="1" t="str">
        <f>"Q"&amp;ROUNDUP(MONTH(VolumebyClient[[#This Row],[Date]])/3,0)&amp;" "&amp;YEAR(VolumebyClient[[#This Row],[Date]])</f>
        <v>Q3 2020</v>
      </c>
      <c r="I276" s="1" t="str">
        <f>VLOOKUP(VolumebyClient[[#This Row],[Date]],Quarters[],3,TRUE)</f>
        <v>Q3 2020</v>
      </c>
    </row>
    <row r="277" spans="1:9" x14ac:dyDescent="0.2">
      <c r="A277" s="2" t="s">
        <v>17</v>
      </c>
      <c r="B277" s="10">
        <v>44074</v>
      </c>
      <c r="C277" s="5">
        <v>15298</v>
      </c>
      <c r="D277" s="1">
        <f>LEN(VolumebyClient[[#This Row],[CLID]])</f>
        <v>7</v>
      </c>
      <c r="F277" s="1" t="str">
        <f>INDEX(GeobyClient[GEOID],MATCH(VolumebyClient[[#This Row],[CLID]],GeobyClient[Right],0))</f>
        <v>GEO1001</v>
      </c>
      <c r="G277" s="1" t="str">
        <f>VLOOKUP(VolumebyClient[[#This Row],[Index Match Region ID]],GEONames[[GEOID]:[GEO NAME]],2,FALSE)</f>
        <v>NAM</v>
      </c>
      <c r="H277" s="1" t="str">
        <f>"Q"&amp;ROUNDUP(MONTH(VolumebyClient[[#This Row],[Date]])/3,0)&amp;" "&amp;YEAR(VolumebyClient[[#This Row],[Date]])</f>
        <v>Q3 2020</v>
      </c>
      <c r="I277" s="1" t="str">
        <f>VLOOKUP(VolumebyClient[[#This Row],[Date]],Quarters[],3,TRUE)</f>
        <v>Q3 2020</v>
      </c>
    </row>
    <row r="278" spans="1:9" x14ac:dyDescent="0.2">
      <c r="A278" s="2" t="s">
        <v>17</v>
      </c>
      <c r="B278" s="10">
        <v>44104</v>
      </c>
      <c r="C278" s="5">
        <v>15295</v>
      </c>
      <c r="D278" s="1">
        <f>LEN(VolumebyClient[[#This Row],[CLID]])</f>
        <v>7</v>
      </c>
      <c r="F278" s="1" t="str">
        <f>INDEX(GeobyClient[GEOID],MATCH(VolumebyClient[[#This Row],[CLID]],GeobyClient[Right],0))</f>
        <v>GEO1001</v>
      </c>
      <c r="G278" s="1" t="str">
        <f>VLOOKUP(VolumebyClient[[#This Row],[Index Match Region ID]],GEONames[[GEOID]:[GEO NAME]],2,FALSE)</f>
        <v>NAM</v>
      </c>
      <c r="H278" s="1" t="str">
        <f>"Q"&amp;ROUNDUP(MONTH(VolumebyClient[[#This Row],[Date]])/3,0)&amp;" "&amp;YEAR(VolumebyClient[[#This Row],[Date]])</f>
        <v>Q3 2020</v>
      </c>
      <c r="I278" s="1" t="str">
        <f>VLOOKUP(VolumebyClient[[#This Row],[Date]],Quarters[],3,TRUE)</f>
        <v>Q3 2020</v>
      </c>
    </row>
    <row r="279" spans="1:9" x14ac:dyDescent="0.2">
      <c r="A279" s="2" t="s">
        <v>17</v>
      </c>
      <c r="B279" s="10">
        <v>44135</v>
      </c>
      <c r="C279" s="5">
        <v>17846</v>
      </c>
      <c r="D279" s="1">
        <f>LEN(VolumebyClient[[#This Row],[CLID]])</f>
        <v>7</v>
      </c>
      <c r="F279" s="1" t="str">
        <f>INDEX(GeobyClient[GEOID],MATCH(VolumebyClient[[#This Row],[CLID]],GeobyClient[Right],0))</f>
        <v>GEO1001</v>
      </c>
      <c r="G279" s="1" t="str">
        <f>VLOOKUP(VolumebyClient[[#This Row],[Index Match Region ID]],GEONames[[GEOID]:[GEO NAME]],2,FALSE)</f>
        <v>NAM</v>
      </c>
      <c r="H279" s="1" t="str">
        <f>"Q"&amp;ROUNDUP(MONTH(VolumebyClient[[#This Row],[Date]])/3,0)&amp;" "&amp;YEAR(VolumebyClient[[#This Row],[Date]])</f>
        <v>Q4 2020</v>
      </c>
      <c r="I279" s="1" t="str">
        <f>VLOOKUP(VolumebyClient[[#This Row],[Date]],Quarters[],3,TRUE)</f>
        <v>Q4 2020</v>
      </c>
    </row>
    <row r="280" spans="1:9" x14ac:dyDescent="0.2">
      <c r="A280" s="2" t="s">
        <v>17</v>
      </c>
      <c r="B280" s="10">
        <v>44165</v>
      </c>
      <c r="C280" s="5">
        <v>20388</v>
      </c>
      <c r="D280" s="1">
        <f>LEN(VolumebyClient[[#This Row],[CLID]])</f>
        <v>7</v>
      </c>
      <c r="F280" s="1" t="str">
        <f>INDEX(GeobyClient[GEOID],MATCH(VolumebyClient[[#This Row],[CLID]],GeobyClient[Right],0))</f>
        <v>GEO1001</v>
      </c>
      <c r="G280" s="1" t="str">
        <f>VLOOKUP(VolumebyClient[[#This Row],[Index Match Region ID]],GEONames[[GEOID]:[GEO NAME]],2,FALSE)</f>
        <v>NAM</v>
      </c>
      <c r="H280" s="1" t="str">
        <f>"Q"&amp;ROUNDUP(MONTH(VolumebyClient[[#This Row],[Date]])/3,0)&amp;" "&amp;YEAR(VolumebyClient[[#This Row],[Date]])</f>
        <v>Q4 2020</v>
      </c>
      <c r="I280" s="1" t="str">
        <f>VLOOKUP(VolumebyClient[[#This Row],[Date]],Quarters[],3,TRUE)</f>
        <v>Q4 2020</v>
      </c>
    </row>
    <row r="281" spans="1:9" x14ac:dyDescent="0.2">
      <c r="A281" s="2" t="s">
        <v>17</v>
      </c>
      <c r="B281" s="10">
        <v>44196</v>
      </c>
      <c r="C281" s="5">
        <v>20391</v>
      </c>
      <c r="D281" s="1">
        <f>LEN(VolumebyClient[[#This Row],[CLID]])</f>
        <v>7</v>
      </c>
      <c r="F281" s="1" t="str">
        <f>INDEX(GeobyClient[GEOID],MATCH(VolumebyClient[[#This Row],[CLID]],GeobyClient[Right],0))</f>
        <v>GEO1001</v>
      </c>
      <c r="G281" s="1" t="str">
        <f>VLOOKUP(VolumebyClient[[#This Row],[Index Match Region ID]],GEONames[[GEOID]:[GEO NAME]],2,FALSE)</f>
        <v>NAM</v>
      </c>
      <c r="H281" s="1" t="str">
        <f>"Q"&amp;ROUNDUP(MONTH(VolumebyClient[[#This Row],[Date]])/3,0)&amp;" "&amp;YEAR(VolumebyClient[[#This Row],[Date]])</f>
        <v>Q4 2020</v>
      </c>
      <c r="I281" s="1" t="str">
        <f>VLOOKUP(VolumebyClient[[#This Row],[Date]],Quarters[],3,TRUE)</f>
        <v>Q4 2020</v>
      </c>
    </row>
    <row r="282" spans="1:9" x14ac:dyDescent="0.2">
      <c r="A282" s="2" t="s">
        <v>17</v>
      </c>
      <c r="B282" s="10">
        <v>44377</v>
      </c>
      <c r="C282" s="5">
        <v>20289</v>
      </c>
      <c r="D282" s="1">
        <f>LEN(VolumebyClient[[#This Row],[CLID]])</f>
        <v>7</v>
      </c>
      <c r="F282" s="1" t="str">
        <f>INDEX(GeobyClient[GEOID],MATCH(VolumebyClient[[#This Row],[CLID]],GeobyClient[Right],0))</f>
        <v>GEO1001</v>
      </c>
      <c r="G282" s="1" t="str">
        <f>VLOOKUP(VolumebyClient[[#This Row],[Index Match Region ID]],GEONames[[GEOID]:[GEO NAME]],2,FALSE)</f>
        <v>NAM</v>
      </c>
      <c r="H282" s="1" t="str">
        <f>"Q"&amp;ROUNDUP(MONTH(VolumebyClient[[#This Row],[Date]])/3,0)&amp;" "&amp;YEAR(VolumebyClient[[#This Row],[Date]])</f>
        <v>Q2 2021</v>
      </c>
      <c r="I282" s="1" t="str">
        <f>VLOOKUP(VolumebyClient[[#This Row],[Date]],Quarters[],3,TRUE)</f>
        <v>Q2 2021</v>
      </c>
    </row>
    <row r="283" spans="1:9" x14ac:dyDescent="0.2">
      <c r="A283" s="2" t="s">
        <v>17</v>
      </c>
      <c r="B283" s="10">
        <v>44347</v>
      </c>
      <c r="C283" s="5">
        <v>29437</v>
      </c>
      <c r="D283" s="1">
        <f>LEN(VolumebyClient[[#This Row],[CLID]])</f>
        <v>7</v>
      </c>
      <c r="F283" s="1" t="str">
        <f>INDEX(GeobyClient[GEOID],MATCH(VolumebyClient[[#This Row],[CLID]],GeobyClient[Right],0))</f>
        <v>GEO1001</v>
      </c>
      <c r="G283" s="1" t="str">
        <f>VLOOKUP(VolumebyClient[[#This Row],[Index Match Region ID]],GEONames[[GEOID]:[GEO NAME]],2,FALSE)</f>
        <v>NAM</v>
      </c>
      <c r="H283" s="1" t="str">
        <f>"Q"&amp;ROUNDUP(MONTH(VolumebyClient[[#This Row],[Date]])/3,0)&amp;" "&amp;YEAR(VolumebyClient[[#This Row],[Date]])</f>
        <v>Q2 2021</v>
      </c>
      <c r="I283" s="1" t="str">
        <f>VLOOKUP(VolumebyClient[[#This Row],[Date]],Quarters[],3,TRUE)</f>
        <v>Q2 2021</v>
      </c>
    </row>
    <row r="284" spans="1:9" x14ac:dyDescent="0.2">
      <c r="A284" s="2" t="s">
        <v>17</v>
      </c>
      <c r="B284" s="10">
        <v>44316</v>
      </c>
      <c r="C284" s="5">
        <v>32113</v>
      </c>
      <c r="D284" s="1">
        <f>LEN(VolumebyClient[[#This Row],[CLID]])</f>
        <v>7</v>
      </c>
      <c r="F284" s="1" t="str">
        <f>INDEX(GeobyClient[GEOID],MATCH(VolumebyClient[[#This Row],[CLID]],GeobyClient[Right],0))</f>
        <v>GEO1001</v>
      </c>
      <c r="G284" s="1" t="str">
        <f>VLOOKUP(VolumebyClient[[#This Row],[Index Match Region ID]],GEONames[[GEOID]:[GEO NAME]],2,FALSE)</f>
        <v>NAM</v>
      </c>
      <c r="H284" s="1" t="str">
        <f>"Q"&amp;ROUNDUP(MONTH(VolumebyClient[[#This Row],[Date]])/3,0)&amp;" "&amp;YEAR(VolumebyClient[[#This Row],[Date]])</f>
        <v>Q2 2021</v>
      </c>
      <c r="I284" s="1" t="str">
        <f>VLOOKUP(VolumebyClient[[#This Row],[Date]],Quarters[],3,TRUE)</f>
        <v>Q2 2021</v>
      </c>
    </row>
    <row r="285" spans="1:9" x14ac:dyDescent="0.2">
      <c r="A285" s="2" t="s">
        <v>17</v>
      </c>
      <c r="B285" s="10">
        <v>44286</v>
      </c>
      <c r="C285" s="5">
        <v>26762</v>
      </c>
      <c r="D285" s="1">
        <f>LEN(VolumebyClient[[#This Row],[CLID]])</f>
        <v>7</v>
      </c>
      <c r="F285" s="1" t="str">
        <f>INDEX(GeobyClient[GEOID],MATCH(VolumebyClient[[#This Row],[CLID]],GeobyClient[Right],0))</f>
        <v>GEO1001</v>
      </c>
      <c r="G285" s="1" t="str">
        <f>VLOOKUP(VolumebyClient[[#This Row],[Index Match Region ID]],GEONames[[GEOID]:[GEO NAME]],2,FALSE)</f>
        <v>NAM</v>
      </c>
      <c r="H285" s="1" t="str">
        <f>"Q"&amp;ROUNDUP(MONTH(VolumebyClient[[#This Row],[Date]])/3,0)&amp;" "&amp;YEAR(VolumebyClient[[#This Row],[Date]])</f>
        <v>Q1 2021</v>
      </c>
      <c r="I285" s="1" t="str">
        <f>VLOOKUP(VolumebyClient[[#This Row],[Date]],Quarters[],3,TRUE)</f>
        <v>Q1 2021</v>
      </c>
    </row>
    <row r="286" spans="1:9" x14ac:dyDescent="0.2">
      <c r="A286" s="2" t="s">
        <v>17</v>
      </c>
      <c r="B286" s="10">
        <v>44255</v>
      </c>
      <c r="C286" s="5">
        <v>22713</v>
      </c>
      <c r="D286" s="1">
        <f>LEN(VolumebyClient[[#This Row],[CLID]])</f>
        <v>7</v>
      </c>
      <c r="F286" s="1" t="str">
        <f>INDEX(GeobyClient[GEOID],MATCH(VolumebyClient[[#This Row],[CLID]],GeobyClient[Right],0))</f>
        <v>GEO1001</v>
      </c>
      <c r="G286" s="1" t="str">
        <f>VLOOKUP(VolumebyClient[[#This Row],[Index Match Region ID]],GEONames[[GEOID]:[GEO NAME]],2,FALSE)</f>
        <v>NAM</v>
      </c>
      <c r="H286" s="1" t="str">
        <f>"Q"&amp;ROUNDUP(MONTH(VolumebyClient[[#This Row],[Date]])/3,0)&amp;" "&amp;YEAR(VolumebyClient[[#This Row],[Date]])</f>
        <v>Q1 2021</v>
      </c>
      <c r="I286" s="1" t="str">
        <f>VLOOKUP(VolumebyClient[[#This Row],[Date]],Quarters[],3,TRUE)</f>
        <v>Q1 2021</v>
      </c>
    </row>
    <row r="287" spans="1:9" x14ac:dyDescent="0.2">
      <c r="A287" s="2" t="s">
        <v>17</v>
      </c>
      <c r="B287" s="10">
        <v>44227</v>
      </c>
      <c r="C287" s="5">
        <v>20286</v>
      </c>
      <c r="D287" s="1">
        <f>LEN(VolumebyClient[[#This Row],[CLID]])</f>
        <v>7</v>
      </c>
      <c r="F287" s="1" t="str">
        <f>INDEX(GeobyClient[GEOID],MATCH(VolumebyClient[[#This Row],[CLID]],GeobyClient[Right],0))</f>
        <v>GEO1001</v>
      </c>
      <c r="G287" s="1" t="str">
        <f>VLOOKUP(VolumebyClient[[#This Row],[Index Match Region ID]],GEONames[[GEOID]:[GEO NAME]],2,FALSE)</f>
        <v>NAM</v>
      </c>
      <c r="H287" s="1" t="str">
        <f>"Q"&amp;ROUNDUP(MONTH(VolumebyClient[[#This Row],[Date]])/3,0)&amp;" "&amp;YEAR(VolumebyClient[[#This Row],[Date]])</f>
        <v>Q1 2021</v>
      </c>
      <c r="I287" s="1" t="str">
        <f>VLOOKUP(VolumebyClient[[#This Row],[Date]],Quarters[],3,TRUE)</f>
        <v>Q1 2021</v>
      </c>
    </row>
    <row r="288" spans="1:9" x14ac:dyDescent="0.2">
      <c r="A288" s="2" t="s">
        <v>8</v>
      </c>
      <c r="B288" s="10">
        <v>43861</v>
      </c>
      <c r="C288" s="5">
        <v>11682</v>
      </c>
      <c r="D288" s="1">
        <f>LEN(VolumebyClient[[#This Row],[CLID]])</f>
        <v>7</v>
      </c>
      <c r="F288" s="1" t="str">
        <f>INDEX(GeobyClient[GEOID],MATCH(VolumebyClient[[#This Row],[CLID]],GeobyClient[Right],0))</f>
        <v>GEO1004</v>
      </c>
      <c r="G288" s="1" t="str">
        <f>VLOOKUP(VolumebyClient[[#This Row],[Index Match Region ID]],GEONames[[GEOID]:[GEO NAME]],2,FALSE)</f>
        <v>LATAM</v>
      </c>
      <c r="H288" s="1" t="str">
        <f>"Q"&amp;ROUNDUP(MONTH(VolumebyClient[[#This Row],[Date]])/3,0)&amp;" "&amp;YEAR(VolumebyClient[[#This Row],[Date]])</f>
        <v>Q1 2020</v>
      </c>
      <c r="I288" s="1" t="str">
        <f>VLOOKUP(VolumebyClient[[#This Row],[Date]],Quarters[],3,TRUE)</f>
        <v>Q1 2020</v>
      </c>
    </row>
    <row r="289" spans="1:9" x14ac:dyDescent="0.2">
      <c r="A289" s="2" t="s">
        <v>8</v>
      </c>
      <c r="B289" s="10">
        <v>43890</v>
      </c>
      <c r="C289" s="5">
        <v>14802</v>
      </c>
      <c r="D289" s="1">
        <f>LEN(VolumebyClient[[#This Row],[CLID]])</f>
        <v>7</v>
      </c>
      <c r="F289" s="1" t="str">
        <f>INDEX(GeobyClient[GEOID],MATCH(VolumebyClient[[#This Row],[CLID]],GeobyClient[Right],0))</f>
        <v>GEO1004</v>
      </c>
      <c r="G289" s="1" t="str">
        <f>VLOOKUP(VolumebyClient[[#This Row],[Index Match Region ID]],GEONames[[GEOID]:[GEO NAME]],2,FALSE)</f>
        <v>LATAM</v>
      </c>
      <c r="H289" s="1" t="str">
        <f>"Q"&amp;ROUNDUP(MONTH(VolumebyClient[[#This Row],[Date]])/3,0)&amp;" "&amp;YEAR(VolumebyClient[[#This Row],[Date]])</f>
        <v>Q1 2020</v>
      </c>
      <c r="I289" s="1" t="str">
        <f>VLOOKUP(VolumebyClient[[#This Row],[Date]],Quarters[],3,TRUE)</f>
        <v>Q1 2020</v>
      </c>
    </row>
    <row r="290" spans="1:9" x14ac:dyDescent="0.2">
      <c r="A290" s="2" t="s">
        <v>8</v>
      </c>
      <c r="B290" s="10">
        <v>43921</v>
      </c>
      <c r="C290" s="5">
        <v>14798</v>
      </c>
      <c r="D290" s="1">
        <f>LEN(VolumebyClient[[#This Row],[CLID]])</f>
        <v>7</v>
      </c>
      <c r="F290" s="1" t="str">
        <f>INDEX(GeobyClient[GEOID],MATCH(VolumebyClient[[#This Row],[CLID]],GeobyClient[Right],0))</f>
        <v>GEO1004</v>
      </c>
      <c r="G290" s="1" t="str">
        <f>VLOOKUP(VolumebyClient[[#This Row],[Index Match Region ID]],GEONames[[GEOID]:[GEO NAME]],2,FALSE)</f>
        <v>LATAM</v>
      </c>
      <c r="H290" s="1" t="str">
        <f>"Q"&amp;ROUNDUP(MONTH(VolumebyClient[[#This Row],[Date]])/3,0)&amp;" "&amp;YEAR(VolumebyClient[[#This Row],[Date]])</f>
        <v>Q1 2020</v>
      </c>
      <c r="I290" s="1" t="str">
        <f>VLOOKUP(VolumebyClient[[#This Row],[Date]],Quarters[],3,TRUE)</f>
        <v>Q1 2020</v>
      </c>
    </row>
    <row r="291" spans="1:9" x14ac:dyDescent="0.2">
      <c r="A291" s="2" t="s">
        <v>8</v>
      </c>
      <c r="B291" s="10">
        <v>43951</v>
      </c>
      <c r="C291" s="5">
        <v>19470</v>
      </c>
      <c r="D291" s="1">
        <f>LEN(VolumebyClient[[#This Row],[CLID]])</f>
        <v>7</v>
      </c>
      <c r="F291" s="1" t="str">
        <f>INDEX(GeobyClient[GEOID],MATCH(VolumebyClient[[#This Row],[CLID]],GeobyClient[Right],0))</f>
        <v>GEO1004</v>
      </c>
      <c r="G291" s="1" t="str">
        <f>VLOOKUP(VolumebyClient[[#This Row],[Index Match Region ID]],GEONames[[GEOID]:[GEO NAME]],2,FALSE)</f>
        <v>LATAM</v>
      </c>
      <c r="H291" s="1" t="str">
        <f>"Q"&amp;ROUNDUP(MONTH(VolumebyClient[[#This Row],[Date]])/3,0)&amp;" "&amp;YEAR(VolumebyClient[[#This Row],[Date]])</f>
        <v>Q2 2020</v>
      </c>
      <c r="I291" s="1" t="str">
        <f>VLOOKUP(VolumebyClient[[#This Row],[Date]],Quarters[],3,TRUE)</f>
        <v>Q2 2020</v>
      </c>
    </row>
    <row r="292" spans="1:9" x14ac:dyDescent="0.2">
      <c r="A292" s="2" t="s">
        <v>8</v>
      </c>
      <c r="B292" s="10">
        <v>43982</v>
      </c>
      <c r="C292" s="5">
        <v>16356</v>
      </c>
      <c r="D292" s="1">
        <f>LEN(VolumebyClient[[#This Row],[CLID]])</f>
        <v>7</v>
      </c>
      <c r="F292" s="1" t="str">
        <f>INDEX(GeobyClient[GEOID],MATCH(VolumebyClient[[#This Row],[CLID]],GeobyClient[Right],0))</f>
        <v>GEO1004</v>
      </c>
      <c r="G292" s="1" t="str">
        <f>VLOOKUP(VolumebyClient[[#This Row],[Index Match Region ID]],GEONames[[GEOID]:[GEO NAME]],2,FALSE)</f>
        <v>LATAM</v>
      </c>
      <c r="H292" s="1" t="str">
        <f>"Q"&amp;ROUNDUP(MONTH(VolumebyClient[[#This Row],[Date]])/3,0)&amp;" "&amp;YEAR(VolumebyClient[[#This Row],[Date]])</f>
        <v>Q2 2020</v>
      </c>
      <c r="I292" s="1" t="str">
        <f>VLOOKUP(VolumebyClient[[#This Row],[Date]],Quarters[],3,TRUE)</f>
        <v>Q2 2020</v>
      </c>
    </row>
    <row r="293" spans="1:9" x14ac:dyDescent="0.2">
      <c r="A293" s="2" t="s">
        <v>8</v>
      </c>
      <c r="B293" s="10">
        <v>44012</v>
      </c>
      <c r="C293" s="5">
        <v>13245</v>
      </c>
      <c r="D293" s="1">
        <f>LEN(VolumebyClient[[#This Row],[CLID]])</f>
        <v>7</v>
      </c>
      <c r="F293" s="1" t="str">
        <f>INDEX(GeobyClient[GEOID],MATCH(VolumebyClient[[#This Row],[CLID]],GeobyClient[Right],0))</f>
        <v>GEO1004</v>
      </c>
      <c r="G293" s="1" t="str">
        <f>VLOOKUP(VolumebyClient[[#This Row],[Index Match Region ID]],GEONames[[GEOID]:[GEO NAME]],2,FALSE)</f>
        <v>LATAM</v>
      </c>
      <c r="H293" s="1" t="str">
        <f>"Q"&amp;ROUNDUP(MONTH(VolumebyClient[[#This Row],[Date]])/3,0)&amp;" "&amp;YEAR(VolumebyClient[[#This Row],[Date]])</f>
        <v>Q2 2020</v>
      </c>
      <c r="I293" s="1" t="str">
        <f>VLOOKUP(VolumebyClient[[#This Row],[Date]],Quarters[],3,TRUE)</f>
        <v>Q2 2020</v>
      </c>
    </row>
    <row r="294" spans="1:9" x14ac:dyDescent="0.2">
      <c r="A294" s="2" t="s">
        <v>8</v>
      </c>
      <c r="B294" s="10">
        <v>44043</v>
      </c>
      <c r="C294" s="5">
        <v>10130</v>
      </c>
      <c r="D294" s="1">
        <f>LEN(VolumebyClient[[#This Row],[CLID]])</f>
        <v>7</v>
      </c>
      <c r="F294" s="1" t="str">
        <f>INDEX(GeobyClient[GEOID],MATCH(VolumebyClient[[#This Row],[CLID]],GeobyClient[Right],0))</f>
        <v>GEO1004</v>
      </c>
      <c r="G294" s="1" t="str">
        <f>VLOOKUP(VolumebyClient[[#This Row],[Index Match Region ID]],GEONames[[GEOID]:[GEO NAME]],2,FALSE)</f>
        <v>LATAM</v>
      </c>
      <c r="H294" s="1" t="str">
        <f>"Q"&amp;ROUNDUP(MONTH(VolumebyClient[[#This Row],[Date]])/3,0)&amp;" "&amp;YEAR(VolumebyClient[[#This Row],[Date]])</f>
        <v>Q3 2020</v>
      </c>
      <c r="I294" s="1" t="str">
        <f>VLOOKUP(VolumebyClient[[#This Row],[Date]],Quarters[],3,TRUE)</f>
        <v>Q3 2020</v>
      </c>
    </row>
    <row r="295" spans="1:9" x14ac:dyDescent="0.2">
      <c r="A295" s="2" t="s">
        <v>8</v>
      </c>
      <c r="B295" s="10">
        <v>44074</v>
      </c>
      <c r="C295" s="5">
        <v>10124</v>
      </c>
      <c r="D295" s="1">
        <f>LEN(VolumebyClient[[#This Row],[CLID]])</f>
        <v>7</v>
      </c>
      <c r="F295" s="1" t="str">
        <f>INDEX(GeobyClient[GEOID],MATCH(VolumebyClient[[#This Row],[CLID]],GeobyClient[Right],0))</f>
        <v>GEO1004</v>
      </c>
      <c r="G295" s="1" t="str">
        <f>VLOOKUP(VolumebyClient[[#This Row],[Index Match Region ID]],GEONames[[GEOID]:[GEO NAME]],2,FALSE)</f>
        <v>LATAM</v>
      </c>
      <c r="H295" s="1" t="str">
        <f>"Q"&amp;ROUNDUP(MONTH(VolumebyClient[[#This Row],[Date]])/3,0)&amp;" "&amp;YEAR(VolumebyClient[[#This Row],[Date]])</f>
        <v>Q3 2020</v>
      </c>
      <c r="I295" s="1" t="str">
        <f>VLOOKUP(VolumebyClient[[#This Row],[Date]],Quarters[],3,TRUE)</f>
        <v>Q3 2020</v>
      </c>
    </row>
    <row r="296" spans="1:9" x14ac:dyDescent="0.2">
      <c r="A296" s="2" t="s">
        <v>8</v>
      </c>
      <c r="B296" s="10">
        <v>44104</v>
      </c>
      <c r="C296" s="5">
        <v>8573</v>
      </c>
      <c r="D296" s="1">
        <f>LEN(VolumebyClient[[#This Row],[CLID]])</f>
        <v>7</v>
      </c>
      <c r="F296" s="1" t="str">
        <f>INDEX(GeobyClient[GEOID],MATCH(VolumebyClient[[#This Row],[CLID]],GeobyClient[Right],0))</f>
        <v>GEO1004</v>
      </c>
      <c r="G296" s="1" t="str">
        <f>VLOOKUP(VolumebyClient[[#This Row],[Index Match Region ID]],GEONames[[GEOID]:[GEO NAME]],2,FALSE)</f>
        <v>LATAM</v>
      </c>
      <c r="H296" s="1" t="str">
        <f>"Q"&amp;ROUNDUP(MONTH(VolumebyClient[[#This Row],[Date]])/3,0)&amp;" "&amp;YEAR(VolumebyClient[[#This Row],[Date]])</f>
        <v>Q3 2020</v>
      </c>
      <c r="I296" s="1" t="str">
        <f>VLOOKUP(VolumebyClient[[#This Row],[Date]],Quarters[],3,TRUE)</f>
        <v>Q3 2020</v>
      </c>
    </row>
    <row r="297" spans="1:9" x14ac:dyDescent="0.2">
      <c r="A297" s="2" t="s">
        <v>8</v>
      </c>
      <c r="B297" s="10">
        <v>44135</v>
      </c>
      <c r="C297" s="5">
        <v>11682</v>
      </c>
      <c r="D297" s="1">
        <f>LEN(VolumebyClient[[#This Row],[CLID]])</f>
        <v>7</v>
      </c>
      <c r="F297" s="1" t="str">
        <f>INDEX(GeobyClient[GEOID],MATCH(VolumebyClient[[#This Row],[CLID]],GeobyClient[Right],0))</f>
        <v>GEO1004</v>
      </c>
      <c r="G297" s="1" t="str">
        <f>VLOOKUP(VolumebyClient[[#This Row],[Index Match Region ID]],GEONames[[GEOID]:[GEO NAME]],2,FALSE)</f>
        <v>LATAM</v>
      </c>
      <c r="H297" s="1" t="str">
        <f>"Q"&amp;ROUNDUP(MONTH(VolumebyClient[[#This Row],[Date]])/3,0)&amp;" "&amp;YEAR(VolumebyClient[[#This Row],[Date]])</f>
        <v>Q4 2020</v>
      </c>
      <c r="I297" s="1" t="str">
        <f>VLOOKUP(VolumebyClient[[#This Row],[Date]],Quarters[],3,TRUE)</f>
        <v>Q4 2020</v>
      </c>
    </row>
    <row r="298" spans="1:9" x14ac:dyDescent="0.2">
      <c r="A298" s="2" t="s">
        <v>8</v>
      </c>
      <c r="B298" s="10">
        <v>44165</v>
      </c>
      <c r="C298" s="5">
        <v>11686</v>
      </c>
      <c r="D298" s="1">
        <f>LEN(VolumebyClient[[#This Row],[CLID]])</f>
        <v>7</v>
      </c>
      <c r="F298" s="1" t="str">
        <f>INDEX(GeobyClient[GEOID],MATCH(VolumebyClient[[#This Row],[CLID]],GeobyClient[Right],0))</f>
        <v>GEO1004</v>
      </c>
      <c r="G298" s="1" t="str">
        <f>VLOOKUP(VolumebyClient[[#This Row],[Index Match Region ID]],GEONames[[GEOID]:[GEO NAME]],2,FALSE)</f>
        <v>LATAM</v>
      </c>
      <c r="H298" s="1" t="str">
        <f>"Q"&amp;ROUNDUP(MONTH(VolumebyClient[[#This Row],[Date]])/3,0)&amp;" "&amp;YEAR(VolumebyClient[[#This Row],[Date]])</f>
        <v>Q4 2020</v>
      </c>
      <c r="I298" s="1" t="str">
        <f>VLOOKUP(VolumebyClient[[#This Row],[Date]],Quarters[],3,TRUE)</f>
        <v>Q4 2020</v>
      </c>
    </row>
    <row r="299" spans="1:9" x14ac:dyDescent="0.2">
      <c r="A299" s="2" t="s">
        <v>8</v>
      </c>
      <c r="B299" s="10">
        <v>44196</v>
      </c>
      <c r="C299" s="5">
        <v>13239</v>
      </c>
      <c r="D299" s="1">
        <f>LEN(VolumebyClient[[#This Row],[CLID]])</f>
        <v>7</v>
      </c>
      <c r="F299" s="1" t="str">
        <f>INDEX(GeobyClient[GEOID],MATCH(VolumebyClient[[#This Row],[CLID]],GeobyClient[Right],0))</f>
        <v>GEO1004</v>
      </c>
      <c r="G299" s="1" t="str">
        <f>VLOOKUP(VolumebyClient[[#This Row],[Index Match Region ID]],GEONames[[GEOID]:[GEO NAME]],2,FALSE)</f>
        <v>LATAM</v>
      </c>
      <c r="H299" s="1" t="str">
        <f>"Q"&amp;ROUNDUP(MONTH(VolumebyClient[[#This Row],[Date]])/3,0)&amp;" "&amp;YEAR(VolumebyClient[[#This Row],[Date]])</f>
        <v>Q4 2020</v>
      </c>
      <c r="I299" s="1" t="str">
        <f>VLOOKUP(VolumebyClient[[#This Row],[Date]],Quarters[],3,TRUE)</f>
        <v>Q4 2020</v>
      </c>
    </row>
    <row r="300" spans="1:9" x14ac:dyDescent="0.2">
      <c r="A300" s="2" t="s">
        <v>8</v>
      </c>
      <c r="B300" s="10">
        <v>44377</v>
      </c>
      <c r="C300" s="5">
        <v>13905</v>
      </c>
      <c r="D300" s="1">
        <f>LEN(VolumebyClient[[#This Row],[CLID]])</f>
        <v>7</v>
      </c>
      <c r="F300" s="1" t="str">
        <f>INDEX(GeobyClient[GEOID],MATCH(VolumebyClient[[#This Row],[CLID]],GeobyClient[Right],0))</f>
        <v>GEO1004</v>
      </c>
      <c r="G300" s="1" t="str">
        <f>VLOOKUP(VolumebyClient[[#This Row],[Index Match Region ID]],GEONames[[GEOID]:[GEO NAME]],2,FALSE)</f>
        <v>LATAM</v>
      </c>
      <c r="H300" s="1" t="str">
        <f>"Q"&amp;ROUNDUP(MONTH(VolumebyClient[[#This Row],[Date]])/3,0)&amp;" "&amp;YEAR(VolumebyClient[[#This Row],[Date]])</f>
        <v>Q2 2021</v>
      </c>
      <c r="I300" s="1" t="str">
        <f>VLOOKUP(VolumebyClient[[#This Row],[Date]],Quarters[],3,TRUE)</f>
        <v>Q2 2021</v>
      </c>
    </row>
    <row r="301" spans="1:9" x14ac:dyDescent="0.2">
      <c r="A301" s="2" t="s">
        <v>8</v>
      </c>
      <c r="B301" s="10">
        <v>44347</v>
      </c>
      <c r="C301" s="5">
        <v>16273</v>
      </c>
      <c r="D301" s="1">
        <f>LEN(VolumebyClient[[#This Row],[CLID]])</f>
        <v>7</v>
      </c>
      <c r="F301" s="1" t="str">
        <f>INDEX(GeobyClient[GEOID],MATCH(VolumebyClient[[#This Row],[CLID]],GeobyClient[Right],0))</f>
        <v>GEO1004</v>
      </c>
      <c r="G301" s="1" t="str">
        <f>VLOOKUP(VolumebyClient[[#This Row],[Index Match Region ID]],GEONames[[GEOID]:[GEO NAME]],2,FALSE)</f>
        <v>LATAM</v>
      </c>
      <c r="H301" s="1" t="str">
        <f>"Q"&amp;ROUNDUP(MONTH(VolumebyClient[[#This Row],[Date]])/3,0)&amp;" "&amp;YEAR(VolumebyClient[[#This Row],[Date]])</f>
        <v>Q2 2021</v>
      </c>
      <c r="I301" s="1" t="str">
        <f>VLOOKUP(VolumebyClient[[#This Row],[Date]],Quarters[],3,TRUE)</f>
        <v>Q2 2021</v>
      </c>
    </row>
    <row r="302" spans="1:9" x14ac:dyDescent="0.2">
      <c r="A302" s="2" t="s">
        <v>8</v>
      </c>
      <c r="B302" s="10">
        <v>44316</v>
      </c>
      <c r="C302" s="5">
        <v>20251</v>
      </c>
      <c r="D302" s="1">
        <f>LEN(VolumebyClient[[#This Row],[CLID]])</f>
        <v>7</v>
      </c>
      <c r="F302" s="1" t="str">
        <f>INDEX(GeobyClient[GEOID],MATCH(VolumebyClient[[#This Row],[CLID]],GeobyClient[Right],0))</f>
        <v>GEO1004</v>
      </c>
      <c r="G302" s="1" t="str">
        <f>VLOOKUP(VolumebyClient[[#This Row],[Index Match Region ID]],GEONames[[GEOID]:[GEO NAME]],2,FALSE)</f>
        <v>LATAM</v>
      </c>
      <c r="H302" s="1" t="str">
        <f>"Q"&amp;ROUNDUP(MONTH(VolumebyClient[[#This Row],[Date]])/3,0)&amp;" "&amp;YEAR(VolumebyClient[[#This Row],[Date]])</f>
        <v>Q2 2021</v>
      </c>
      <c r="I302" s="1" t="str">
        <f>VLOOKUP(VolumebyClient[[#This Row],[Date]],Quarters[],3,TRUE)</f>
        <v>Q2 2021</v>
      </c>
    </row>
    <row r="303" spans="1:9" x14ac:dyDescent="0.2">
      <c r="A303" s="2" t="s">
        <v>8</v>
      </c>
      <c r="B303" s="10">
        <v>44286</v>
      </c>
      <c r="C303" s="5">
        <v>15092</v>
      </c>
      <c r="D303" s="1">
        <f>LEN(VolumebyClient[[#This Row],[CLID]])</f>
        <v>7</v>
      </c>
      <c r="F303" s="1" t="str">
        <f>INDEX(GeobyClient[GEOID],MATCH(VolumebyClient[[#This Row],[CLID]],GeobyClient[Right],0))</f>
        <v>GEO1004</v>
      </c>
      <c r="G303" s="1" t="str">
        <f>VLOOKUP(VolumebyClient[[#This Row],[Index Match Region ID]],GEONames[[GEOID]:[GEO NAME]],2,FALSE)</f>
        <v>LATAM</v>
      </c>
      <c r="H303" s="1" t="str">
        <f>"Q"&amp;ROUNDUP(MONTH(VolumebyClient[[#This Row],[Date]])/3,0)&amp;" "&amp;YEAR(VolumebyClient[[#This Row],[Date]])</f>
        <v>Q1 2021</v>
      </c>
      <c r="I303" s="1" t="str">
        <f>VLOOKUP(VolumebyClient[[#This Row],[Date]],Quarters[],3,TRUE)</f>
        <v>Q1 2021</v>
      </c>
    </row>
    <row r="304" spans="1:9" x14ac:dyDescent="0.2">
      <c r="A304" s="2" t="s">
        <v>8</v>
      </c>
      <c r="B304" s="10">
        <v>44255</v>
      </c>
      <c r="C304" s="5">
        <v>15094</v>
      </c>
      <c r="D304" s="1">
        <f>LEN(VolumebyClient[[#This Row],[CLID]])</f>
        <v>7</v>
      </c>
      <c r="F304" s="1" t="str">
        <f>INDEX(GeobyClient[GEOID],MATCH(VolumebyClient[[#This Row],[CLID]],GeobyClient[Right],0))</f>
        <v>GEO1004</v>
      </c>
      <c r="G304" s="1" t="str">
        <f>VLOOKUP(VolumebyClient[[#This Row],[Index Match Region ID]],GEONames[[GEOID]:[GEO NAME]],2,FALSE)</f>
        <v>LATAM</v>
      </c>
      <c r="H304" s="1" t="str">
        <f>"Q"&amp;ROUNDUP(MONTH(VolumebyClient[[#This Row],[Date]])/3,0)&amp;" "&amp;YEAR(VolumebyClient[[#This Row],[Date]])</f>
        <v>Q1 2021</v>
      </c>
      <c r="I304" s="1" t="str">
        <f>VLOOKUP(VolumebyClient[[#This Row],[Date]],Quarters[],3,TRUE)</f>
        <v>Q1 2021</v>
      </c>
    </row>
    <row r="305" spans="1:9" x14ac:dyDescent="0.2">
      <c r="A305" s="2" t="s">
        <v>8</v>
      </c>
      <c r="B305" s="10">
        <v>44227</v>
      </c>
      <c r="C305" s="5">
        <v>11799</v>
      </c>
      <c r="D305" s="1">
        <f>LEN(VolumebyClient[[#This Row],[CLID]])</f>
        <v>7</v>
      </c>
      <c r="F305" s="1" t="str">
        <f>INDEX(GeobyClient[GEOID],MATCH(VolumebyClient[[#This Row],[CLID]],GeobyClient[Right],0))</f>
        <v>GEO1004</v>
      </c>
      <c r="G305" s="1" t="str">
        <f>VLOOKUP(VolumebyClient[[#This Row],[Index Match Region ID]],GEONames[[GEOID]:[GEO NAME]],2,FALSE)</f>
        <v>LATAM</v>
      </c>
      <c r="H305" s="1" t="str">
        <f>"Q"&amp;ROUNDUP(MONTH(VolumebyClient[[#This Row],[Date]])/3,0)&amp;" "&amp;YEAR(VolumebyClient[[#This Row],[Date]])</f>
        <v>Q1 2021</v>
      </c>
      <c r="I305" s="1" t="str">
        <f>VLOOKUP(VolumebyClient[[#This Row],[Date]],Quarters[],3,TRUE)</f>
        <v>Q1 2021</v>
      </c>
    </row>
    <row r="306" spans="1:9" x14ac:dyDescent="0.2">
      <c r="A306" s="2" t="s">
        <v>12</v>
      </c>
      <c r="B306" s="10">
        <v>44043</v>
      </c>
      <c r="C306" s="5">
        <v>326</v>
      </c>
      <c r="D306" s="1">
        <f>LEN(VolumebyClient[[#This Row],[CLID]])</f>
        <v>7</v>
      </c>
      <c r="F306" s="1" t="str">
        <f>INDEX(GeobyClient[GEOID],MATCH(VolumebyClient[[#This Row],[CLID]],GeobyClient[Right],0))</f>
        <v>GEO1002</v>
      </c>
      <c r="G306" s="1" t="str">
        <f>VLOOKUP(VolumebyClient[[#This Row],[Index Match Region ID]],GEONames[[GEOID]:[GEO NAME]],2,FALSE)</f>
        <v>APAC</v>
      </c>
      <c r="H306" s="1" t="str">
        <f>"Q"&amp;ROUNDUP(MONTH(VolumebyClient[[#This Row],[Date]])/3,0)&amp;" "&amp;YEAR(VolumebyClient[[#This Row],[Date]])</f>
        <v>Q3 2020</v>
      </c>
      <c r="I306" s="1" t="str">
        <f>VLOOKUP(VolumebyClient[[#This Row],[Date]],Quarters[],3,TRUE)</f>
        <v>Q3 2020</v>
      </c>
    </row>
    <row r="307" spans="1:9" x14ac:dyDescent="0.2">
      <c r="A307" s="2" t="s">
        <v>12</v>
      </c>
      <c r="B307" s="10">
        <v>44074</v>
      </c>
      <c r="C307" s="5">
        <v>202</v>
      </c>
      <c r="D307" s="1">
        <f>LEN(VolumebyClient[[#This Row],[CLID]])</f>
        <v>7</v>
      </c>
      <c r="F307" s="1" t="str">
        <f>INDEX(GeobyClient[GEOID],MATCH(VolumebyClient[[#This Row],[CLID]],GeobyClient[Right],0))</f>
        <v>GEO1002</v>
      </c>
      <c r="G307" s="1" t="str">
        <f>VLOOKUP(VolumebyClient[[#This Row],[Index Match Region ID]],GEONames[[GEOID]:[GEO NAME]],2,FALSE)</f>
        <v>APAC</v>
      </c>
      <c r="H307" s="1" t="str">
        <f>"Q"&amp;ROUNDUP(MONTH(VolumebyClient[[#This Row],[Date]])/3,0)&amp;" "&amp;YEAR(VolumebyClient[[#This Row],[Date]])</f>
        <v>Q3 2020</v>
      </c>
      <c r="I307" s="1" t="str">
        <f>VLOOKUP(VolumebyClient[[#This Row],[Date]],Quarters[],3,TRUE)</f>
        <v>Q3 2020</v>
      </c>
    </row>
    <row r="308" spans="1:9" x14ac:dyDescent="0.2">
      <c r="A308" s="2" t="s">
        <v>12</v>
      </c>
      <c r="B308" s="10">
        <v>44104</v>
      </c>
      <c r="C308" s="5">
        <v>283</v>
      </c>
      <c r="D308" s="1">
        <f>LEN(VolumebyClient[[#This Row],[CLID]])</f>
        <v>7</v>
      </c>
      <c r="F308" s="1" t="str">
        <f>INDEX(GeobyClient[GEOID],MATCH(VolumebyClient[[#This Row],[CLID]],GeobyClient[Right],0))</f>
        <v>GEO1002</v>
      </c>
      <c r="G308" s="1" t="str">
        <f>VLOOKUP(VolumebyClient[[#This Row],[Index Match Region ID]],GEONames[[GEOID]:[GEO NAME]],2,FALSE)</f>
        <v>APAC</v>
      </c>
      <c r="H308" s="1" t="str">
        <f>"Q"&amp;ROUNDUP(MONTH(VolumebyClient[[#This Row],[Date]])/3,0)&amp;" "&amp;YEAR(VolumebyClient[[#This Row],[Date]])</f>
        <v>Q3 2020</v>
      </c>
      <c r="I308" s="1" t="str">
        <f>VLOOKUP(VolumebyClient[[#This Row],[Date]],Quarters[],3,TRUE)</f>
        <v>Q3 2020</v>
      </c>
    </row>
    <row r="309" spans="1:9" x14ac:dyDescent="0.2">
      <c r="A309" s="2" t="s">
        <v>12</v>
      </c>
      <c r="B309" s="10">
        <v>44135</v>
      </c>
      <c r="C309" s="5">
        <v>243</v>
      </c>
      <c r="D309" s="1">
        <f>LEN(VolumebyClient[[#This Row],[CLID]])</f>
        <v>7</v>
      </c>
      <c r="F309" s="1" t="str">
        <f>INDEX(GeobyClient[GEOID],MATCH(VolumebyClient[[#This Row],[CLID]],GeobyClient[Right],0))</f>
        <v>GEO1002</v>
      </c>
      <c r="G309" s="1" t="str">
        <f>VLOOKUP(VolumebyClient[[#This Row],[Index Match Region ID]],GEONames[[GEOID]:[GEO NAME]],2,FALSE)</f>
        <v>APAC</v>
      </c>
      <c r="H309" s="1" t="str">
        <f>"Q"&amp;ROUNDUP(MONTH(VolumebyClient[[#This Row],[Date]])/3,0)&amp;" "&amp;YEAR(VolumebyClient[[#This Row],[Date]])</f>
        <v>Q4 2020</v>
      </c>
      <c r="I309" s="1" t="str">
        <f>VLOOKUP(VolumebyClient[[#This Row],[Date]],Quarters[],3,TRUE)</f>
        <v>Q4 2020</v>
      </c>
    </row>
    <row r="310" spans="1:9" x14ac:dyDescent="0.2">
      <c r="A310" s="2" t="s">
        <v>12</v>
      </c>
      <c r="B310" s="10">
        <v>44165</v>
      </c>
      <c r="C310" s="5">
        <v>368</v>
      </c>
      <c r="D310" s="1">
        <f>LEN(VolumebyClient[[#This Row],[CLID]])</f>
        <v>7</v>
      </c>
      <c r="F310" s="1" t="str">
        <f>INDEX(GeobyClient[GEOID],MATCH(VolumebyClient[[#This Row],[CLID]],GeobyClient[Right],0))</f>
        <v>GEO1002</v>
      </c>
      <c r="G310" s="1" t="str">
        <f>VLOOKUP(VolumebyClient[[#This Row],[Index Match Region ID]],GEONames[[GEOID]:[GEO NAME]],2,FALSE)</f>
        <v>APAC</v>
      </c>
      <c r="H310" s="1" t="str">
        <f>"Q"&amp;ROUNDUP(MONTH(VolumebyClient[[#This Row],[Date]])/3,0)&amp;" "&amp;YEAR(VolumebyClient[[#This Row],[Date]])</f>
        <v>Q4 2020</v>
      </c>
      <c r="I310" s="1" t="str">
        <f>VLOOKUP(VolumebyClient[[#This Row],[Date]],Quarters[],3,TRUE)</f>
        <v>Q4 2020</v>
      </c>
    </row>
    <row r="311" spans="1:9" x14ac:dyDescent="0.2">
      <c r="A311" s="2" t="s">
        <v>12</v>
      </c>
      <c r="B311" s="10">
        <v>44196</v>
      </c>
      <c r="C311" s="5">
        <v>285</v>
      </c>
      <c r="D311" s="1">
        <f>LEN(VolumebyClient[[#This Row],[CLID]])</f>
        <v>7</v>
      </c>
      <c r="F311" s="1" t="str">
        <f>INDEX(GeobyClient[GEOID],MATCH(VolumebyClient[[#This Row],[CLID]],GeobyClient[Right],0))</f>
        <v>GEO1002</v>
      </c>
      <c r="G311" s="1" t="str">
        <f>VLOOKUP(VolumebyClient[[#This Row],[Index Match Region ID]],GEONames[[GEOID]:[GEO NAME]],2,FALSE)</f>
        <v>APAC</v>
      </c>
      <c r="H311" s="1" t="str">
        <f>"Q"&amp;ROUNDUP(MONTH(VolumebyClient[[#This Row],[Date]])/3,0)&amp;" "&amp;YEAR(VolumebyClient[[#This Row],[Date]])</f>
        <v>Q4 2020</v>
      </c>
      <c r="I311" s="1" t="str">
        <f>VLOOKUP(VolumebyClient[[#This Row],[Date]],Quarters[],3,TRUE)</f>
        <v>Q4 2020</v>
      </c>
    </row>
    <row r="312" spans="1:9" x14ac:dyDescent="0.2">
      <c r="A312" s="2" t="s">
        <v>12</v>
      </c>
      <c r="B312" s="10">
        <v>44377</v>
      </c>
      <c r="C312" s="5">
        <v>292</v>
      </c>
      <c r="D312" s="1">
        <f>LEN(VolumebyClient[[#This Row],[CLID]])</f>
        <v>7</v>
      </c>
      <c r="F312" s="1" t="str">
        <f>INDEX(GeobyClient[GEOID],MATCH(VolumebyClient[[#This Row],[CLID]],GeobyClient[Right],0))</f>
        <v>GEO1002</v>
      </c>
      <c r="G312" s="1" t="str">
        <f>VLOOKUP(VolumebyClient[[#This Row],[Index Match Region ID]],GEONames[[GEOID]:[GEO NAME]],2,FALSE)</f>
        <v>APAC</v>
      </c>
      <c r="H312" s="1" t="str">
        <f>"Q"&amp;ROUNDUP(MONTH(VolumebyClient[[#This Row],[Date]])/3,0)&amp;" "&amp;YEAR(VolumebyClient[[#This Row],[Date]])</f>
        <v>Q2 2021</v>
      </c>
      <c r="I312" s="1" t="str">
        <f>VLOOKUP(VolumebyClient[[#This Row],[Date]],Quarters[],3,TRUE)</f>
        <v>Q2 2021</v>
      </c>
    </row>
    <row r="313" spans="1:9" x14ac:dyDescent="0.2">
      <c r="A313" s="2" t="s">
        <v>12</v>
      </c>
      <c r="B313" s="10">
        <v>44347</v>
      </c>
      <c r="C313" s="5">
        <v>495</v>
      </c>
      <c r="D313" s="1">
        <f>LEN(VolumebyClient[[#This Row],[CLID]])</f>
        <v>7</v>
      </c>
      <c r="F313" s="1" t="str">
        <f>INDEX(GeobyClient[GEOID],MATCH(VolumebyClient[[#This Row],[CLID]],GeobyClient[Right],0))</f>
        <v>GEO1002</v>
      </c>
      <c r="G313" s="1" t="str">
        <f>VLOOKUP(VolumebyClient[[#This Row],[Index Match Region ID]],GEONames[[GEOID]:[GEO NAME]],2,FALSE)</f>
        <v>APAC</v>
      </c>
      <c r="H313" s="1" t="str">
        <f>"Q"&amp;ROUNDUP(MONTH(VolumebyClient[[#This Row],[Date]])/3,0)&amp;" "&amp;YEAR(VolumebyClient[[#This Row],[Date]])</f>
        <v>Q2 2021</v>
      </c>
      <c r="I313" s="1" t="str">
        <f>VLOOKUP(VolumebyClient[[#This Row],[Date]],Quarters[],3,TRUE)</f>
        <v>Q2 2021</v>
      </c>
    </row>
    <row r="314" spans="1:9" x14ac:dyDescent="0.2">
      <c r="A314" s="2" t="s">
        <v>12</v>
      </c>
      <c r="B314" s="10">
        <v>44316</v>
      </c>
      <c r="C314" s="5">
        <v>467</v>
      </c>
      <c r="D314" s="1">
        <f>LEN(VolumebyClient[[#This Row],[CLID]])</f>
        <v>7</v>
      </c>
      <c r="F314" s="1" t="str">
        <f>INDEX(GeobyClient[GEOID],MATCH(VolumebyClient[[#This Row],[CLID]],GeobyClient[Right],0))</f>
        <v>GEO1002</v>
      </c>
      <c r="G314" s="1" t="str">
        <f>VLOOKUP(VolumebyClient[[#This Row],[Index Match Region ID]],GEONames[[GEOID]:[GEO NAME]],2,FALSE)</f>
        <v>APAC</v>
      </c>
      <c r="H314" s="1" t="str">
        <f>"Q"&amp;ROUNDUP(MONTH(VolumebyClient[[#This Row],[Date]])/3,0)&amp;" "&amp;YEAR(VolumebyClient[[#This Row],[Date]])</f>
        <v>Q2 2021</v>
      </c>
      <c r="I314" s="1" t="str">
        <f>VLOOKUP(VolumebyClient[[#This Row],[Date]],Quarters[],3,TRUE)</f>
        <v>Q2 2021</v>
      </c>
    </row>
    <row r="315" spans="1:9" x14ac:dyDescent="0.2">
      <c r="A315" s="2" t="s">
        <v>12</v>
      </c>
      <c r="B315" s="10">
        <v>44286</v>
      </c>
      <c r="C315" s="5">
        <v>451</v>
      </c>
      <c r="D315" s="1">
        <f>LEN(VolumebyClient[[#This Row],[CLID]])</f>
        <v>7</v>
      </c>
      <c r="F315" s="1" t="str">
        <f>INDEX(GeobyClient[GEOID],MATCH(VolumebyClient[[#This Row],[CLID]],GeobyClient[Right],0))</f>
        <v>GEO1002</v>
      </c>
      <c r="G315" s="1" t="str">
        <f>VLOOKUP(VolumebyClient[[#This Row],[Index Match Region ID]],GEONames[[GEOID]:[GEO NAME]],2,FALSE)</f>
        <v>APAC</v>
      </c>
      <c r="H315" s="1" t="str">
        <f>"Q"&amp;ROUNDUP(MONTH(VolumebyClient[[#This Row],[Date]])/3,0)&amp;" "&amp;YEAR(VolumebyClient[[#This Row],[Date]])</f>
        <v>Q1 2021</v>
      </c>
      <c r="I315" s="1" t="str">
        <f>VLOOKUP(VolumebyClient[[#This Row],[Date]],Quarters[],3,TRUE)</f>
        <v>Q1 2021</v>
      </c>
    </row>
    <row r="316" spans="1:9" x14ac:dyDescent="0.2">
      <c r="A316" s="2" t="s">
        <v>12</v>
      </c>
      <c r="B316" s="10">
        <v>44255</v>
      </c>
      <c r="C316" s="5">
        <v>320</v>
      </c>
      <c r="D316" s="1">
        <f>LEN(VolumebyClient[[#This Row],[CLID]])</f>
        <v>7</v>
      </c>
      <c r="F316" s="1" t="str">
        <f>INDEX(GeobyClient[GEOID],MATCH(VolumebyClient[[#This Row],[CLID]],GeobyClient[Right],0))</f>
        <v>GEO1002</v>
      </c>
      <c r="G316" s="1" t="str">
        <f>VLOOKUP(VolumebyClient[[#This Row],[Index Match Region ID]],GEONames[[GEOID]:[GEO NAME]],2,FALSE)</f>
        <v>APAC</v>
      </c>
      <c r="H316" s="1" t="str">
        <f>"Q"&amp;ROUNDUP(MONTH(VolumebyClient[[#This Row],[Date]])/3,0)&amp;" "&amp;YEAR(VolumebyClient[[#This Row],[Date]])</f>
        <v>Q1 2021</v>
      </c>
      <c r="I316" s="1" t="str">
        <f>VLOOKUP(VolumebyClient[[#This Row],[Date]],Quarters[],3,TRUE)</f>
        <v>Q1 2021</v>
      </c>
    </row>
    <row r="317" spans="1:9" x14ac:dyDescent="0.2">
      <c r="A317" s="2" t="s">
        <v>12</v>
      </c>
      <c r="B317" s="10">
        <v>44227</v>
      </c>
      <c r="C317" s="5">
        <v>361</v>
      </c>
      <c r="D317" s="1">
        <f>LEN(VolumebyClient[[#This Row],[CLID]])</f>
        <v>7</v>
      </c>
      <c r="F317" s="1" t="str">
        <f>INDEX(GeobyClient[GEOID],MATCH(VolumebyClient[[#This Row],[CLID]],GeobyClient[Right],0))</f>
        <v>GEO1002</v>
      </c>
      <c r="G317" s="1" t="str">
        <f>VLOOKUP(VolumebyClient[[#This Row],[Index Match Region ID]],GEONames[[GEOID]:[GEO NAME]],2,FALSE)</f>
        <v>APAC</v>
      </c>
      <c r="H317" s="1" t="str">
        <f>"Q"&amp;ROUNDUP(MONTH(VolumebyClient[[#This Row],[Date]])/3,0)&amp;" "&amp;YEAR(VolumebyClient[[#This Row],[Date]])</f>
        <v>Q1 2021</v>
      </c>
      <c r="I317" s="1" t="str">
        <f>VLOOKUP(VolumebyClient[[#This Row],[Date]],Quarters[],3,TRUE)</f>
        <v>Q1 2021</v>
      </c>
    </row>
    <row r="318" spans="1:9" x14ac:dyDescent="0.2">
      <c r="A318" s="2" t="s">
        <v>51</v>
      </c>
      <c r="B318" s="10">
        <v>43861</v>
      </c>
      <c r="C318" s="5">
        <v>2691</v>
      </c>
      <c r="D318" s="1">
        <f>LEN(VolumebyClient[[#This Row],[CLID]])</f>
        <v>7</v>
      </c>
      <c r="F318" s="1" t="str">
        <f>INDEX(GeobyClient[GEOID],MATCH(VolumebyClient[[#This Row],[CLID]],GeobyClient[Right],0))</f>
        <v>GEO1001</v>
      </c>
      <c r="G318" s="1" t="str">
        <f>VLOOKUP(VolumebyClient[[#This Row],[Index Match Region ID]],GEONames[[GEOID]:[GEO NAME]],2,FALSE)</f>
        <v>NAM</v>
      </c>
      <c r="H318" s="1" t="str">
        <f>"Q"&amp;ROUNDUP(MONTH(VolumebyClient[[#This Row],[Date]])/3,0)&amp;" "&amp;YEAR(VolumebyClient[[#This Row],[Date]])</f>
        <v>Q1 2020</v>
      </c>
      <c r="I318" s="1" t="str">
        <f>VLOOKUP(VolumebyClient[[#This Row],[Date]],Quarters[],3,TRUE)</f>
        <v>Q1 2020</v>
      </c>
    </row>
    <row r="319" spans="1:9" x14ac:dyDescent="0.2">
      <c r="A319" s="2" t="s">
        <v>51</v>
      </c>
      <c r="B319" s="10">
        <v>43890</v>
      </c>
      <c r="C319" s="5">
        <v>2129</v>
      </c>
      <c r="D319" s="1">
        <f>LEN(VolumebyClient[[#This Row],[CLID]])</f>
        <v>7</v>
      </c>
      <c r="F319" s="1" t="str">
        <f>INDEX(GeobyClient[GEOID],MATCH(VolumebyClient[[#This Row],[CLID]],GeobyClient[Right],0))</f>
        <v>GEO1001</v>
      </c>
      <c r="G319" s="1" t="str">
        <f>VLOOKUP(VolumebyClient[[#This Row],[Index Match Region ID]],GEONames[[GEOID]:[GEO NAME]],2,FALSE)</f>
        <v>NAM</v>
      </c>
      <c r="H319" s="1" t="str">
        <f>"Q"&amp;ROUNDUP(MONTH(VolumebyClient[[#This Row],[Date]])/3,0)&amp;" "&amp;YEAR(VolumebyClient[[#This Row],[Date]])</f>
        <v>Q1 2020</v>
      </c>
      <c r="I319" s="1" t="str">
        <f>VLOOKUP(VolumebyClient[[#This Row],[Date]],Quarters[],3,TRUE)</f>
        <v>Q1 2020</v>
      </c>
    </row>
    <row r="320" spans="1:9" x14ac:dyDescent="0.2">
      <c r="A320" s="2" t="s">
        <v>51</v>
      </c>
      <c r="B320" s="10">
        <v>43921</v>
      </c>
      <c r="C320" s="5">
        <v>3258</v>
      </c>
      <c r="D320" s="1">
        <f>LEN(VolumebyClient[[#This Row],[CLID]])</f>
        <v>7</v>
      </c>
      <c r="F320" s="1" t="str">
        <f>INDEX(GeobyClient[GEOID],MATCH(VolumebyClient[[#This Row],[CLID]],GeobyClient[Right],0))</f>
        <v>GEO1001</v>
      </c>
      <c r="G320" s="1" t="str">
        <f>VLOOKUP(VolumebyClient[[#This Row],[Index Match Region ID]],GEONames[[GEOID]:[GEO NAME]],2,FALSE)</f>
        <v>NAM</v>
      </c>
      <c r="H320" s="1" t="str">
        <f>"Q"&amp;ROUNDUP(MONTH(VolumebyClient[[#This Row],[Date]])/3,0)&amp;" "&amp;YEAR(VolumebyClient[[#This Row],[Date]])</f>
        <v>Q1 2020</v>
      </c>
      <c r="I320" s="1" t="str">
        <f>VLOOKUP(VolumebyClient[[#This Row],[Date]],Quarters[],3,TRUE)</f>
        <v>Q1 2020</v>
      </c>
    </row>
    <row r="321" spans="1:9" x14ac:dyDescent="0.2">
      <c r="A321" s="2" t="s">
        <v>51</v>
      </c>
      <c r="B321" s="10">
        <v>43951</v>
      </c>
      <c r="C321" s="5">
        <v>2978</v>
      </c>
      <c r="D321" s="1">
        <f>LEN(VolumebyClient[[#This Row],[CLID]])</f>
        <v>7</v>
      </c>
      <c r="F321" s="1" t="str">
        <f>INDEX(GeobyClient[GEOID],MATCH(VolumebyClient[[#This Row],[CLID]],GeobyClient[Right],0))</f>
        <v>GEO1001</v>
      </c>
      <c r="G321" s="1" t="str">
        <f>VLOOKUP(VolumebyClient[[#This Row],[Index Match Region ID]],GEONames[[GEOID]:[GEO NAME]],2,FALSE)</f>
        <v>NAM</v>
      </c>
      <c r="H321" s="1" t="str">
        <f>"Q"&amp;ROUNDUP(MONTH(VolumebyClient[[#This Row],[Date]])/3,0)&amp;" "&amp;YEAR(VolumebyClient[[#This Row],[Date]])</f>
        <v>Q2 2020</v>
      </c>
      <c r="I321" s="1" t="str">
        <f>VLOOKUP(VolumebyClient[[#This Row],[Date]],Quarters[],3,TRUE)</f>
        <v>Q2 2020</v>
      </c>
    </row>
    <row r="322" spans="1:9" x14ac:dyDescent="0.2">
      <c r="A322" s="2" t="s">
        <v>51</v>
      </c>
      <c r="B322" s="10">
        <v>43982</v>
      </c>
      <c r="C322" s="5">
        <v>3544</v>
      </c>
      <c r="D322" s="1">
        <f>LEN(VolumebyClient[[#This Row],[CLID]])</f>
        <v>7</v>
      </c>
      <c r="F322" s="1" t="str">
        <f>INDEX(GeobyClient[GEOID],MATCH(VolumebyClient[[#This Row],[CLID]],GeobyClient[Right],0))</f>
        <v>GEO1001</v>
      </c>
      <c r="G322" s="1" t="str">
        <f>VLOOKUP(VolumebyClient[[#This Row],[Index Match Region ID]],GEONames[[GEOID]:[GEO NAME]],2,FALSE)</f>
        <v>NAM</v>
      </c>
      <c r="H322" s="1" t="str">
        <f>"Q"&amp;ROUNDUP(MONTH(VolumebyClient[[#This Row],[Date]])/3,0)&amp;" "&amp;YEAR(VolumebyClient[[#This Row],[Date]])</f>
        <v>Q2 2020</v>
      </c>
      <c r="I322" s="1" t="str">
        <f>VLOOKUP(VolumebyClient[[#This Row],[Date]],Quarters[],3,TRUE)</f>
        <v>Q2 2020</v>
      </c>
    </row>
    <row r="323" spans="1:9" x14ac:dyDescent="0.2">
      <c r="A323" s="2" t="s">
        <v>51</v>
      </c>
      <c r="B323" s="10">
        <v>44012</v>
      </c>
      <c r="C323" s="5">
        <v>1845</v>
      </c>
      <c r="D323" s="1">
        <f>LEN(VolumebyClient[[#This Row],[CLID]])</f>
        <v>7</v>
      </c>
      <c r="F323" s="1" t="str">
        <f>INDEX(GeobyClient[GEOID],MATCH(VolumebyClient[[#This Row],[CLID]],GeobyClient[Right],0))</f>
        <v>GEO1001</v>
      </c>
      <c r="G323" s="1" t="str">
        <f>VLOOKUP(VolumebyClient[[#This Row],[Index Match Region ID]],GEONames[[GEOID]:[GEO NAME]],2,FALSE)</f>
        <v>NAM</v>
      </c>
      <c r="H323" s="1" t="str">
        <f>"Q"&amp;ROUNDUP(MONTH(VolumebyClient[[#This Row],[Date]])/3,0)&amp;" "&amp;YEAR(VolumebyClient[[#This Row],[Date]])</f>
        <v>Q2 2020</v>
      </c>
      <c r="I323" s="1" t="str">
        <f>VLOOKUP(VolumebyClient[[#This Row],[Date]],Quarters[],3,TRUE)</f>
        <v>Q2 2020</v>
      </c>
    </row>
    <row r="324" spans="1:9" x14ac:dyDescent="0.2">
      <c r="A324" s="2" t="s">
        <v>51</v>
      </c>
      <c r="B324" s="10">
        <v>44043</v>
      </c>
      <c r="C324" s="5">
        <v>2414</v>
      </c>
      <c r="D324" s="1">
        <f>LEN(VolumebyClient[[#This Row],[CLID]])</f>
        <v>7</v>
      </c>
      <c r="F324" s="1" t="str">
        <f>INDEX(GeobyClient[GEOID],MATCH(VolumebyClient[[#This Row],[CLID]],GeobyClient[Right],0))</f>
        <v>GEO1001</v>
      </c>
      <c r="G324" s="1" t="str">
        <f>VLOOKUP(VolumebyClient[[#This Row],[Index Match Region ID]],GEONames[[GEOID]:[GEO NAME]],2,FALSE)</f>
        <v>NAM</v>
      </c>
      <c r="H324" s="1" t="str">
        <f>"Q"&amp;ROUNDUP(MONTH(VolumebyClient[[#This Row],[Date]])/3,0)&amp;" "&amp;YEAR(VolumebyClient[[#This Row],[Date]])</f>
        <v>Q3 2020</v>
      </c>
      <c r="I324" s="1" t="str">
        <f>VLOOKUP(VolumebyClient[[#This Row],[Date]],Quarters[],3,TRUE)</f>
        <v>Q3 2020</v>
      </c>
    </row>
    <row r="325" spans="1:9" x14ac:dyDescent="0.2">
      <c r="A325" s="2" t="s">
        <v>51</v>
      </c>
      <c r="B325" s="10">
        <v>44074</v>
      </c>
      <c r="C325" s="5">
        <v>1281</v>
      </c>
      <c r="D325" s="1">
        <f>LEN(VolumebyClient[[#This Row],[CLID]])</f>
        <v>7</v>
      </c>
      <c r="F325" s="1" t="str">
        <f>INDEX(GeobyClient[GEOID],MATCH(VolumebyClient[[#This Row],[CLID]],GeobyClient[Right],0))</f>
        <v>GEO1001</v>
      </c>
      <c r="G325" s="1" t="str">
        <f>VLOOKUP(VolumebyClient[[#This Row],[Index Match Region ID]],GEONames[[GEOID]:[GEO NAME]],2,FALSE)</f>
        <v>NAM</v>
      </c>
      <c r="H325" s="1" t="str">
        <f>"Q"&amp;ROUNDUP(MONTH(VolumebyClient[[#This Row],[Date]])/3,0)&amp;" "&amp;YEAR(VolumebyClient[[#This Row],[Date]])</f>
        <v>Q3 2020</v>
      </c>
      <c r="I325" s="1" t="str">
        <f>VLOOKUP(VolumebyClient[[#This Row],[Date]],Quarters[],3,TRUE)</f>
        <v>Q3 2020</v>
      </c>
    </row>
    <row r="326" spans="1:9" x14ac:dyDescent="0.2">
      <c r="A326" s="2" t="s">
        <v>51</v>
      </c>
      <c r="B326" s="10">
        <v>44104</v>
      </c>
      <c r="C326" s="5">
        <v>2131</v>
      </c>
      <c r="D326" s="1">
        <f>LEN(VolumebyClient[[#This Row],[CLID]])</f>
        <v>7</v>
      </c>
      <c r="F326" s="1" t="str">
        <f>INDEX(GeobyClient[GEOID],MATCH(VolumebyClient[[#This Row],[CLID]],GeobyClient[Right],0))</f>
        <v>GEO1001</v>
      </c>
      <c r="G326" s="1" t="str">
        <f>VLOOKUP(VolumebyClient[[#This Row],[Index Match Region ID]],GEONames[[GEOID]:[GEO NAME]],2,FALSE)</f>
        <v>NAM</v>
      </c>
      <c r="H326" s="1" t="str">
        <f>"Q"&amp;ROUNDUP(MONTH(VolumebyClient[[#This Row],[Date]])/3,0)&amp;" "&amp;YEAR(VolumebyClient[[#This Row],[Date]])</f>
        <v>Q3 2020</v>
      </c>
      <c r="I326" s="1" t="str">
        <f>VLOOKUP(VolumebyClient[[#This Row],[Date]],Quarters[],3,TRUE)</f>
        <v>Q3 2020</v>
      </c>
    </row>
    <row r="327" spans="1:9" x14ac:dyDescent="0.2">
      <c r="A327" s="2" t="s">
        <v>51</v>
      </c>
      <c r="B327" s="10">
        <v>44135</v>
      </c>
      <c r="C327" s="5">
        <v>1560</v>
      </c>
      <c r="D327" s="1">
        <f>LEN(VolumebyClient[[#This Row],[CLID]])</f>
        <v>7</v>
      </c>
      <c r="F327" s="1" t="str">
        <f>INDEX(GeobyClient[GEOID],MATCH(VolumebyClient[[#This Row],[CLID]],GeobyClient[Right],0))</f>
        <v>GEO1001</v>
      </c>
      <c r="G327" s="1" t="str">
        <f>VLOOKUP(VolumebyClient[[#This Row],[Index Match Region ID]],GEONames[[GEOID]:[GEO NAME]],2,FALSE)</f>
        <v>NAM</v>
      </c>
      <c r="H327" s="1" t="str">
        <f>"Q"&amp;ROUNDUP(MONTH(VolumebyClient[[#This Row],[Date]])/3,0)&amp;" "&amp;YEAR(VolumebyClient[[#This Row],[Date]])</f>
        <v>Q4 2020</v>
      </c>
      <c r="I327" s="1" t="str">
        <f>VLOOKUP(VolumebyClient[[#This Row],[Date]],Quarters[],3,TRUE)</f>
        <v>Q4 2020</v>
      </c>
    </row>
    <row r="328" spans="1:9" x14ac:dyDescent="0.2">
      <c r="A328" s="2" t="s">
        <v>51</v>
      </c>
      <c r="B328" s="10">
        <v>44165</v>
      </c>
      <c r="C328" s="5">
        <v>2691</v>
      </c>
      <c r="D328" s="1">
        <f>LEN(VolumebyClient[[#This Row],[CLID]])</f>
        <v>7</v>
      </c>
      <c r="F328" s="1" t="str">
        <f>INDEX(GeobyClient[GEOID],MATCH(VolumebyClient[[#This Row],[CLID]],GeobyClient[Right],0))</f>
        <v>GEO1001</v>
      </c>
      <c r="G328" s="1" t="str">
        <f>VLOOKUP(VolumebyClient[[#This Row],[Index Match Region ID]],GEONames[[GEOID]:[GEO NAME]],2,FALSE)</f>
        <v>NAM</v>
      </c>
      <c r="H328" s="1" t="str">
        <f>"Q"&amp;ROUNDUP(MONTH(VolumebyClient[[#This Row],[Date]])/3,0)&amp;" "&amp;YEAR(VolumebyClient[[#This Row],[Date]])</f>
        <v>Q4 2020</v>
      </c>
      <c r="I328" s="1" t="str">
        <f>VLOOKUP(VolumebyClient[[#This Row],[Date]],Quarters[],3,TRUE)</f>
        <v>Q4 2020</v>
      </c>
    </row>
    <row r="329" spans="1:9" x14ac:dyDescent="0.2">
      <c r="A329" s="2" t="s">
        <v>51</v>
      </c>
      <c r="B329" s="10">
        <v>44196</v>
      </c>
      <c r="C329" s="5">
        <v>1843</v>
      </c>
      <c r="D329" s="1">
        <f>LEN(VolumebyClient[[#This Row],[CLID]])</f>
        <v>7</v>
      </c>
      <c r="F329" s="1" t="str">
        <f>INDEX(GeobyClient[GEOID],MATCH(VolumebyClient[[#This Row],[CLID]],GeobyClient[Right],0))</f>
        <v>GEO1001</v>
      </c>
      <c r="G329" s="1" t="str">
        <f>VLOOKUP(VolumebyClient[[#This Row],[Index Match Region ID]],GEONames[[GEOID]:[GEO NAME]],2,FALSE)</f>
        <v>NAM</v>
      </c>
      <c r="H329" s="1" t="str">
        <f>"Q"&amp;ROUNDUP(MONTH(VolumebyClient[[#This Row],[Date]])/3,0)&amp;" "&amp;YEAR(VolumebyClient[[#This Row],[Date]])</f>
        <v>Q4 2020</v>
      </c>
      <c r="I329" s="1" t="str">
        <f>VLOOKUP(VolumebyClient[[#This Row],[Date]],Quarters[],3,TRUE)</f>
        <v>Q4 2020</v>
      </c>
    </row>
    <row r="330" spans="1:9" x14ac:dyDescent="0.2">
      <c r="A330" s="2" t="s">
        <v>51</v>
      </c>
      <c r="B330" s="10">
        <v>44377</v>
      </c>
      <c r="C330" s="5">
        <v>1864</v>
      </c>
      <c r="D330" s="1">
        <f>LEN(VolumebyClient[[#This Row],[CLID]])</f>
        <v>7</v>
      </c>
      <c r="F330" s="1" t="str">
        <f>INDEX(GeobyClient[GEOID],MATCH(VolumebyClient[[#This Row],[CLID]],GeobyClient[Right],0))</f>
        <v>GEO1001</v>
      </c>
      <c r="G330" s="1" t="str">
        <f>VLOOKUP(VolumebyClient[[#This Row],[Index Match Region ID]],GEONames[[GEOID]:[GEO NAME]],2,FALSE)</f>
        <v>NAM</v>
      </c>
      <c r="H330" s="1" t="str">
        <f>"Q"&amp;ROUNDUP(MONTH(VolumebyClient[[#This Row],[Date]])/3,0)&amp;" "&amp;YEAR(VolumebyClient[[#This Row],[Date]])</f>
        <v>Q2 2021</v>
      </c>
      <c r="I330" s="1" t="str">
        <f>VLOOKUP(VolumebyClient[[#This Row],[Date]],Quarters[],3,TRUE)</f>
        <v>Q2 2021</v>
      </c>
    </row>
    <row r="331" spans="1:9" x14ac:dyDescent="0.2">
      <c r="A331" s="2" t="s">
        <v>51</v>
      </c>
      <c r="B331" s="10">
        <v>44347</v>
      </c>
      <c r="C331" s="5">
        <v>3527</v>
      </c>
      <c r="D331" s="1">
        <f>LEN(VolumebyClient[[#This Row],[CLID]])</f>
        <v>7</v>
      </c>
      <c r="F331" s="1" t="str">
        <f>INDEX(GeobyClient[GEOID],MATCH(VolumebyClient[[#This Row],[CLID]],GeobyClient[Right],0))</f>
        <v>GEO1001</v>
      </c>
      <c r="G331" s="1" t="str">
        <f>VLOOKUP(VolumebyClient[[#This Row],[Index Match Region ID]],GEONames[[GEOID]:[GEO NAME]],2,FALSE)</f>
        <v>NAM</v>
      </c>
      <c r="H331" s="1" t="str">
        <f>"Q"&amp;ROUNDUP(MONTH(VolumebyClient[[#This Row],[Date]])/3,0)&amp;" "&amp;YEAR(VolumebyClient[[#This Row],[Date]])</f>
        <v>Q2 2021</v>
      </c>
      <c r="I331" s="1" t="str">
        <f>VLOOKUP(VolumebyClient[[#This Row],[Date]],Quarters[],3,TRUE)</f>
        <v>Q2 2021</v>
      </c>
    </row>
    <row r="332" spans="1:9" x14ac:dyDescent="0.2">
      <c r="A332" s="2" t="s">
        <v>51</v>
      </c>
      <c r="B332" s="10">
        <v>44316</v>
      </c>
      <c r="C332" s="5">
        <v>3010</v>
      </c>
      <c r="D332" s="1">
        <f>LEN(VolumebyClient[[#This Row],[CLID]])</f>
        <v>7</v>
      </c>
      <c r="F332" s="1" t="str">
        <f>INDEX(GeobyClient[GEOID],MATCH(VolumebyClient[[#This Row],[CLID]],GeobyClient[Right],0))</f>
        <v>GEO1001</v>
      </c>
      <c r="G332" s="1" t="str">
        <f>VLOOKUP(VolumebyClient[[#This Row],[Index Match Region ID]],GEONames[[GEOID]:[GEO NAME]],2,FALSE)</f>
        <v>NAM</v>
      </c>
      <c r="H332" s="1" t="str">
        <f>"Q"&amp;ROUNDUP(MONTH(VolumebyClient[[#This Row],[Date]])/3,0)&amp;" "&amp;YEAR(VolumebyClient[[#This Row],[Date]])</f>
        <v>Q2 2021</v>
      </c>
      <c r="I332" s="1" t="str">
        <f>VLOOKUP(VolumebyClient[[#This Row],[Date]],Quarters[],3,TRUE)</f>
        <v>Q2 2021</v>
      </c>
    </row>
    <row r="333" spans="1:9" x14ac:dyDescent="0.2">
      <c r="A333" s="2" t="s">
        <v>51</v>
      </c>
      <c r="B333" s="10">
        <v>44286</v>
      </c>
      <c r="C333" s="5">
        <v>3387</v>
      </c>
      <c r="D333" s="1">
        <f>LEN(VolumebyClient[[#This Row],[CLID]])</f>
        <v>7</v>
      </c>
      <c r="F333" s="1" t="str">
        <f>INDEX(GeobyClient[GEOID],MATCH(VolumebyClient[[#This Row],[CLID]],GeobyClient[Right],0))</f>
        <v>GEO1001</v>
      </c>
      <c r="G333" s="1" t="str">
        <f>VLOOKUP(VolumebyClient[[#This Row],[Index Match Region ID]],GEONames[[GEOID]:[GEO NAME]],2,FALSE)</f>
        <v>NAM</v>
      </c>
      <c r="H333" s="1" t="str">
        <f>"Q"&amp;ROUNDUP(MONTH(VolumebyClient[[#This Row],[Date]])/3,0)&amp;" "&amp;YEAR(VolumebyClient[[#This Row],[Date]])</f>
        <v>Q1 2021</v>
      </c>
      <c r="I333" s="1" t="str">
        <f>VLOOKUP(VolumebyClient[[#This Row],[Date]],Quarters[],3,TRUE)</f>
        <v>Q1 2021</v>
      </c>
    </row>
    <row r="334" spans="1:9" x14ac:dyDescent="0.2">
      <c r="A334" s="2" t="s">
        <v>51</v>
      </c>
      <c r="B334" s="10">
        <v>44255</v>
      </c>
      <c r="C334" s="5">
        <v>2190</v>
      </c>
      <c r="D334" s="1">
        <f>LEN(VolumebyClient[[#This Row],[CLID]])</f>
        <v>7</v>
      </c>
      <c r="F334" s="1" t="str">
        <f>INDEX(GeobyClient[GEOID],MATCH(VolumebyClient[[#This Row],[CLID]],GeobyClient[Right],0))</f>
        <v>GEO1001</v>
      </c>
      <c r="G334" s="1" t="str">
        <f>VLOOKUP(VolumebyClient[[#This Row],[Index Match Region ID]],GEONames[[GEOID]:[GEO NAME]],2,FALSE)</f>
        <v>NAM</v>
      </c>
      <c r="H334" s="1" t="str">
        <f>"Q"&amp;ROUNDUP(MONTH(VolumebyClient[[#This Row],[Date]])/3,0)&amp;" "&amp;YEAR(VolumebyClient[[#This Row],[Date]])</f>
        <v>Q1 2021</v>
      </c>
      <c r="I334" s="1" t="str">
        <f>VLOOKUP(VolumebyClient[[#This Row],[Date]],Quarters[],3,TRUE)</f>
        <v>Q1 2021</v>
      </c>
    </row>
    <row r="335" spans="1:9" x14ac:dyDescent="0.2">
      <c r="A335" s="2" t="s">
        <v>51</v>
      </c>
      <c r="B335" s="10">
        <v>44227</v>
      </c>
      <c r="C335" s="5">
        <v>2719</v>
      </c>
      <c r="D335" s="1">
        <f>LEN(VolumebyClient[[#This Row],[CLID]])</f>
        <v>7</v>
      </c>
      <c r="F335" s="1" t="str">
        <f>INDEX(GeobyClient[GEOID],MATCH(VolumebyClient[[#This Row],[CLID]],GeobyClient[Right],0))</f>
        <v>GEO1001</v>
      </c>
      <c r="G335" s="1" t="str">
        <f>VLOOKUP(VolumebyClient[[#This Row],[Index Match Region ID]],GEONames[[GEOID]:[GEO NAME]],2,FALSE)</f>
        <v>NAM</v>
      </c>
      <c r="H335" s="1" t="str">
        <f>"Q"&amp;ROUNDUP(MONTH(VolumebyClient[[#This Row],[Date]])/3,0)&amp;" "&amp;YEAR(VolumebyClient[[#This Row],[Date]])</f>
        <v>Q1 2021</v>
      </c>
      <c r="I335" s="1" t="str">
        <f>VLOOKUP(VolumebyClient[[#This Row],[Date]],Quarters[],3,TRUE)</f>
        <v>Q1 2021</v>
      </c>
    </row>
    <row r="336" spans="1:9" x14ac:dyDescent="0.2">
      <c r="A336" s="2" t="s">
        <v>16</v>
      </c>
      <c r="B336" s="10">
        <v>43861</v>
      </c>
      <c r="C336" s="5">
        <v>484</v>
      </c>
      <c r="D336" s="1">
        <f>LEN(VolumebyClient[[#This Row],[CLID]])</f>
        <v>7</v>
      </c>
      <c r="F336" s="1" t="str">
        <f>INDEX(GeobyClient[GEOID],MATCH(VolumebyClient[[#This Row],[CLID]],GeobyClient[Right],0))</f>
        <v>GEO1004</v>
      </c>
      <c r="G336" s="1" t="str">
        <f>VLOOKUP(VolumebyClient[[#This Row],[Index Match Region ID]],GEONames[[GEOID]:[GEO NAME]],2,FALSE)</f>
        <v>LATAM</v>
      </c>
      <c r="H336" s="1" t="str">
        <f>"Q"&amp;ROUNDUP(MONTH(VolumebyClient[[#This Row],[Date]])/3,0)&amp;" "&amp;YEAR(VolumebyClient[[#This Row],[Date]])</f>
        <v>Q1 2020</v>
      </c>
      <c r="I336" s="1" t="str">
        <f>VLOOKUP(VolumebyClient[[#This Row],[Date]],Quarters[],3,TRUE)</f>
        <v>Q1 2020</v>
      </c>
    </row>
    <row r="337" spans="1:9" x14ac:dyDescent="0.2">
      <c r="A337" s="2" t="s">
        <v>16</v>
      </c>
      <c r="B337" s="10">
        <v>43890</v>
      </c>
      <c r="C337" s="5">
        <v>546</v>
      </c>
      <c r="D337" s="1">
        <f>LEN(VolumebyClient[[#This Row],[CLID]])</f>
        <v>7</v>
      </c>
      <c r="F337" s="1" t="str">
        <f>INDEX(GeobyClient[GEOID],MATCH(VolumebyClient[[#This Row],[CLID]],GeobyClient[Right],0))</f>
        <v>GEO1004</v>
      </c>
      <c r="G337" s="1" t="str">
        <f>VLOOKUP(VolumebyClient[[#This Row],[Index Match Region ID]],GEONames[[GEOID]:[GEO NAME]],2,FALSE)</f>
        <v>LATAM</v>
      </c>
      <c r="H337" s="1" t="str">
        <f>"Q"&amp;ROUNDUP(MONTH(VolumebyClient[[#This Row],[Date]])/3,0)&amp;" "&amp;YEAR(VolumebyClient[[#This Row],[Date]])</f>
        <v>Q1 2020</v>
      </c>
      <c r="I337" s="1" t="str">
        <f>VLOOKUP(VolumebyClient[[#This Row],[Date]],Quarters[],3,TRUE)</f>
        <v>Q1 2020</v>
      </c>
    </row>
    <row r="338" spans="1:9" x14ac:dyDescent="0.2">
      <c r="A338" s="2" t="s">
        <v>16</v>
      </c>
      <c r="B338" s="10">
        <v>43921</v>
      </c>
      <c r="C338" s="5">
        <v>609</v>
      </c>
      <c r="D338" s="1">
        <f>LEN(VolumebyClient[[#This Row],[CLID]])</f>
        <v>7</v>
      </c>
      <c r="F338" s="1" t="str">
        <f>INDEX(GeobyClient[GEOID],MATCH(VolumebyClient[[#This Row],[CLID]],GeobyClient[Right],0))</f>
        <v>GEO1004</v>
      </c>
      <c r="G338" s="1" t="str">
        <f>VLOOKUP(VolumebyClient[[#This Row],[Index Match Region ID]],GEONames[[GEOID]:[GEO NAME]],2,FALSE)</f>
        <v>LATAM</v>
      </c>
      <c r="H338" s="1" t="str">
        <f>"Q"&amp;ROUNDUP(MONTH(VolumebyClient[[#This Row],[Date]])/3,0)&amp;" "&amp;YEAR(VolumebyClient[[#This Row],[Date]])</f>
        <v>Q1 2020</v>
      </c>
      <c r="I338" s="1" t="str">
        <f>VLOOKUP(VolumebyClient[[#This Row],[Date]],Quarters[],3,TRUE)</f>
        <v>Q1 2020</v>
      </c>
    </row>
    <row r="339" spans="1:9" x14ac:dyDescent="0.2">
      <c r="A339" s="2" t="s">
        <v>16</v>
      </c>
      <c r="B339" s="10">
        <v>43951</v>
      </c>
      <c r="C339" s="5">
        <v>727</v>
      </c>
      <c r="D339" s="1">
        <f>LEN(VolumebyClient[[#This Row],[CLID]])</f>
        <v>7</v>
      </c>
      <c r="F339" s="1" t="str">
        <f>INDEX(GeobyClient[GEOID],MATCH(VolumebyClient[[#This Row],[CLID]],GeobyClient[Right],0))</f>
        <v>GEO1004</v>
      </c>
      <c r="G339" s="1" t="str">
        <f>VLOOKUP(VolumebyClient[[#This Row],[Index Match Region ID]],GEONames[[GEOID]:[GEO NAME]],2,FALSE)</f>
        <v>LATAM</v>
      </c>
      <c r="H339" s="1" t="str">
        <f>"Q"&amp;ROUNDUP(MONTH(VolumebyClient[[#This Row],[Date]])/3,0)&amp;" "&amp;YEAR(VolumebyClient[[#This Row],[Date]])</f>
        <v>Q2 2020</v>
      </c>
      <c r="I339" s="1" t="str">
        <f>VLOOKUP(VolumebyClient[[#This Row],[Date]],Quarters[],3,TRUE)</f>
        <v>Q2 2020</v>
      </c>
    </row>
    <row r="340" spans="1:9" x14ac:dyDescent="0.2">
      <c r="A340" s="2" t="s">
        <v>16</v>
      </c>
      <c r="B340" s="10">
        <v>43982</v>
      </c>
      <c r="C340" s="5">
        <v>663</v>
      </c>
      <c r="D340" s="1">
        <f>LEN(VolumebyClient[[#This Row],[CLID]])</f>
        <v>7</v>
      </c>
      <c r="F340" s="1" t="str">
        <f>INDEX(GeobyClient[GEOID],MATCH(VolumebyClient[[#This Row],[CLID]],GeobyClient[Right],0))</f>
        <v>GEO1004</v>
      </c>
      <c r="G340" s="1" t="str">
        <f>VLOOKUP(VolumebyClient[[#This Row],[Index Match Region ID]],GEONames[[GEOID]:[GEO NAME]],2,FALSE)</f>
        <v>LATAM</v>
      </c>
      <c r="H340" s="1" t="str">
        <f>"Q"&amp;ROUNDUP(MONTH(VolumebyClient[[#This Row],[Date]])/3,0)&amp;" "&amp;YEAR(VolumebyClient[[#This Row],[Date]])</f>
        <v>Q2 2020</v>
      </c>
      <c r="I340" s="1" t="str">
        <f>VLOOKUP(VolumebyClient[[#This Row],[Date]],Quarters[],3,TRUE)</f>
        <v>Q2 2020</v>
      </c>
    </row>
    <row r="341" spans="1:9" x14ac:dyDescent="0.2">
      <c r="A341" s="2" t="s">
        <v>16</v>
      </c>
      <c r="B341" s="10">
        <v>44012</v>
      </c>
      <c r="C341" s="5">
        <v>489</v>
      </c>
      <c r="D341" s="1">
        <f>LEN(VolumebyClient[[#This Row],[CLID]])</f>
        <v>7</v>
      </c>
      <c r="F341" s="1" t="str">
        <f>INDEX(GeobyClient[GEOID],MATCH(VolumebyClient[[#This Row],[CLID]],GeobyClient[Right],0))</f>
        <v>GEO1004</v>
      </c>
      <c r="G341" s="1" t="str">
        <f>VLOOKUP(VolumebyClient[[#This Row],[Index Match Region ID]],GEONames[[GEOID]:[GEO NAME]],2,FALSE)</f>
        <v>LATAM</v>
      </c>
      <c r="H341" s="1" t="str">
        <f>"Q"&amp;ROUNDUP(MONTH(VolumebyClient[[#This Row],[Date]])/3,0)&amp;" "&amp;YEAR(VolumebyClient[[#This Row],[Date]])</f>
        <v>Q2 2020</v>
      </c>
      <c r="I341" s="1" t="str">
        <f>VLOOKUP(VolumebyClient[[#This Row],[Date]],Quarters[],3,TRUE)</f>
        <v>Q2 2020</v>
      </c>
    </row>
    <row r="342" spans="1:9" x14ac:dyDescent="0.2">
      <c r="A342" s="2" t="s">
        <v>16</v>
      </c>
      <c r="B342" s="10">
        <v>44043</v>
      </c>
      <c r="C342" s="5">
        <v>422</v>
      </c>
      <c r="D342" s="1">
        <f>LEN(VolumebyClient[[#This Row],[CLID]])</f>
        <v>7</v>
      </c>
      <c r="F342" s="1" t="str">
        <f>INDEX(GeobyClient[GEOID],MATCH(VolumebyClient[[#This Row],[CLID]],GeobyClient[Right],0))</f>
        <v>GEO1004</v>
      </c>
      <c r="G342" s="1" t="str">
        <f>VLOOKUP(VolumebyClient[[#This Row],[Index Match Region ID]],GEONames[[GEOID]:[GEO NAME]],2,FALSE)</f>
        <v>LATAM</v>
      </c>
      <c r="H342" s="1" t="str">
        <f>"Q"&amp;ROUNDUP(MONTH(VolumebyClient[[#This Row],[Date]])/3,0)&amp;" "&amp;YEAR(VolumebyClient[[#This Row],[Date]])</f>
        <v>Q3 2020</v>
      </c>
      <c r="I342" s="1" t="str">
        <f>VLOOKUP(VolumebyClient[[#This Row],[Date]],Quarters[],3,TRUE)</f>
        <v>Q3 2020</v>
      </c>
    </row>
    <row r="343" spans="1:9" x14ac:dyDescent="0.2">
      <c r="A343" s="2" t="s">
        <v>16</v>
      </c>
      <c r="B343" s="10">
        <v>44074</v>
      </c>
      <c r="C343" s="5">
        <v>366</v>
      </c>
      <c r="D343" s="1">
        <f>LEN(VolumebyClient[[#This Row],[CLID]])</f>
        <v>7</v>
      </c>
      <c r="F343" s="1" t="str">
        <f>INDEX(GeobyClient[GEOID],MATCH(VolumebyClient[[#This Row],[CLID]],GeobyClient[Right],0))</f>
        <v>GEO1004</v>
      </c>
      <c r="G343" s="1" t="str">
        <f>VLOOKUP(VolumebyClient[[#This Row],[Index Match Region ID]],GEONames[[GEOID]:[GEO NAME]],2,FALSE)</f>
        <v>LATAM</v>
      </c>
      <c r="H343" s="1" t="str">
        <f>"Q"&amp;ROUNDUP(MONTH(VolumebyClient[[#This Row],[Date]])/3,0)&amp;" "&amp;YEAR(VolumebyClient[[#This Row],[Date]])</f>
        <v>Q3 2020</v>
      </c>
      <c r="I343" s="1" t="str">
        <f>VLOOKUP(VolumebyClient[[#This Row],[Date]],Quarters[],3,TRUE)</f>
        <v>Q3 2020</v>
      </c>
    </row>
    <row r="344" spans="1:9" x14ac:dyDescent="0.2">
      <c r="A344" s="2" t="s">
        <v>16</v>
      </c>
      <c r="B344" s="10">
        <v>44104</v>
      </c>
      <c r="C344" s="5">
        <v>365</v>
      </c>
      <c r="D344" s="1">
        <f>LEN(VolumebyClient[[#This Row],[CLID]])</f>
        <v>7</v>
      </c>
      <c r="F344" s="1" t="str">
        <f>INDEX(GeobyClient[GEOID],MATCH(VolumebyClient[[#This Row],[CLID]],GeobyClient[Right],0))</f>
        <v>GEO1004</v>
      </c>
      <c r="G344" s="1" t="str">
        <f>VLOOKUP(VolumebyClient[[#This Row],[Index Match Region ID]],GEONames[[GEOID]:[GEO NAME]],2,FALSE)</f>
        <v>LATAM</v>
      </c>
      <c r="H344" s="1" t="str">
        <f>"Q"&amp;ROUNDUP(MONTH(VolumebyClient[[#This Row],[Date]])/3,0)&amp;" "&amp;YEAR(VolumebyClient[[#This Row],[Date]])</f>
        <v>Q3 2020</v>
      </c>
      <c r="I344" s="1" t="str">
        <f>VLOOKUP(VolumebyClient[[#This Row],[Date]],Quarters[],3,TRUE)</f>
        <v>Q3 2020</v>
      </c>
    </row>
    <row r="345" spans="1:9" x14ac:dyDescent="0.2">
      <c r="A345" s="2" t="s">
        <v>16</v>
      </c>
      <c r="B345" s="10">
        <v>44135</v>
      </c>
      <c r="C345" s="5">
        <v>428</v>
      </c>
      <c r="D345" s="1">
        <f>LEN(VolumebyClient[[#This Row],[CLID]])</f>
        <v>7</v>
      </c>
      <c r="F345" s="1" t="str">
        <f>INDEX(GeobyClient[GEOID],MATCH(VolumebyClient[[#This Row],[CLID]],GeobyClient[Right],0))</f>
        <v>GEO1004</v>
      </c>
      <c r="G345" s="1" t="str">
        <f>VLOOKUP(VolumebyClient[[#This Row],[Index Match Region ID]],GEONames[[GEOID]:[GEO NAME]],2,FALSE)</f>
        <v>LATAM</v>
      </c>
      <c r="H345" s="1" t="str">
        <f>"Q"&amp;ROUNDUP(MONTH(VolumebyClient[[#This Row],[Date]])/3,0)&amp;" "&amp;YEAR(VolumebyClient[[#This Row],[Date]])</f>
        <v>Q4 2020</v>
      </c>
      <c r="I345" s="1" t="str">
        <f>VLOOKUP(VolumebyClient[[#This Row],[Date]],Quarters[],3,TRUE)</f>
        <v>Q4 2020</v>
      </c>
    </row>
    <row r="346" spans="1:9" x14ac:dyDescent="0.2">
      <c r="A346" s="2" t="s">
        <v>16</v>
      </c>
      <c r="B346" s="10">
        <v>44165</v>
      </c>
      <c r="C346" s="5">
        <v>486</v>
      </c>
      <c r="D346" s="1">
        <f>LEN(VolumebyClient[[#This Row],[CLID]])</f>
        <v>7</v>
      </c>
      <c r="F346" s="1" t="str">
        <f>INDEX(GeobyClient[GEOID],MATCH(VolumebyClient[[#This Row],[CLID]],GeobyClient[Right],0))</f>
        <v>GEO1004</v>
      </c>
      <c r="G346" s="1" t="str">
        <f>VLOOKUP(VolumebyClient[[#This Row],[Index Match Region ID]],GEONames[[GEOID]:[GEO NAME]],2,FALSE)</f>
        <v>LATAM</v>
      </c>
      <c r="H346" s="1" t="str">
        <f>"Q"&amp;ROUNDUP(MONTH(VolumebyClient[[#This Row],[Date]])/3,0)&amp;" "&amp;YEAR(VolumebyClient[[#This Row],[Date]])</f>
        <v>Q4 2020</v>
      </c>
      <c r="I346" s="1" t="str">
        <f>VLOOKUP(VolumebyClient[[#This Row],[Date]],Quarters[],3,TRUE)</f>
        <v>Q4 2020</v>
      </c>
    </row>
    <row r="347" spans="1:9" x14ac:dyDescent="0.2">
      <c r="A347" s="2" t="s">
        <v>16</v>
      </c>
      <c r="B347" s="10">
        <v>44196</v>
      </c>
      <c r="C347" s="5">
        <v>488</v>
      </c>
      <c r="D347" s="1">
        <f>LEN(VolumebyClient[[#This Row],[CLID]])</f>
        <v>7</v>
      </c>
      <c r="F347" s="1" t="str">
        <f>INDEX(GeobyClient[GEOID],MATCH(VolumebyClient[[#This Row],[CLID]],GeobyClient[Right],0))</f>
        <v>GEO1004</v>
      </c>
      <c r="G347" s="1" t="str">
        <f>VLOOKUP(VolumebyClient[[#This Row],[Index Match Region ID]],GEONames[[GEOID]:[GEO NAME]],2,FALSE)</f>
        <v>LATAM</v>
      </c>
      <c r="H347" s="1" t="str">
        <f>"Q"&amp;ROUNDUP(MONTH(VolumebyClient[[#This Row],[Date]])/3,0)&amp;" "&amp;YEAR(VolumebyClient[[#This Row],[Date]])</f>
        <v>Q4 2020</v>
      </c>
      <c r="I347" s="1" t="str">
        <f>VLOOKUP(VolumebyClient[[#This Row],[Date]],Quarters[],3,TRUE)</f>
        <v>Q4 2020</v>
      </c>
    </row>
    <row r="348" spans="1:9" x14ac:dyDescent="0.2">
      <c r="A348" s="2" t="s">
        <v>16</v>
      </c>
      <c r="B348" s="10">
        <v>44227</v>
      </c>
      <c r="C348" s="5">
        <v>483</v>
      </c>
      <c r="D348" s="1">
        <f>LEN(VolumebyClient[[#This Row],[CLID]])</f>
        <v>7</v>
      </c>
      <c r="F348" s="1" t="str">
        <f>INDEX(GeobyClient[GEOID],MATCH(VolumebyClient[[#This Row],[CLID]],GeobyClient[Right],0))</f>
        <v>GEO1004</v>
      </c>
      <c r="G348" s="1" t="str">
        <f>VLOOKUP(VolumebyClient[[#This Row],[Index Match Region ID]],GEONames[[GEOID]:[GEO NAME]],2,FALSE)</f>
        <v>LATAM</v>
      </c>
      <c r="H348" s="1" t="str">
        <f>"Q"&amp;ROUNDUP(MONTH(VolumebyClient[[#This Row],[Date]])/3,0)&amp;" "&amp;YEAR(VolumebyClient[[#This Row],[Date]])</f>
        <v>Q1 2021</v>
      </c>
      <c r="I348" s="1" t="str">
        <f>VLOOKUP(VolumebyClient[[#This Row],[Date]],Quarters[],3,TRUE)</f>
        <v>Q1 2021</v>
      </c>
    </row>
    <row r="349" spans="1:9" x14ac:dyDescent="0.2">
      <c r="A349" s="2" t="s">
        <v>43</v>
      </c>
      <c r="B349" s="10">
        <v>43861</v>
      </c>
      <c r="C349" s="5">
        <v>13597</v>
      </c>
      <c r="D349" s="1">
        <f>LEN(VolumebyClient[[#This Row],[CLID]])</f>
        <v>7</v>
      </c>
      <c r="F349" s="1" t="str">
        <f>INDEX(GeobyClient[GEOID],MATCH(VolumebyClient[[#This Row],[CLID]],GeobyClient[Right],0))</f>
        <v>GEO1002</v>
      </c>
      <c r="G349" s="1" t="str">
        <f>VLOOKUP(VolumebyClient[[#This Row],[Index Match Region ID]],GEONames[[GEOID]:[GEO NAME]],2,FALSE)</f>
        <v>APAC</v>
      </c>
      <c r="H349" s="1" t="str">
        <f>"Q"&amp;ROUNDUP(MONTH(VolumebyClient[[#This Row],[Date]])/3,0)&amp;" "&amp;YEAR(VolumebyClient[[#This Row],[Date]])</f>
        <v>Q1 2020</v>
      </c>
      <c r="I349" s="1" t="str">
        <f>VLOOKUP(VolumebyClient[[#This Row],[Date]],Quarters[],3,TRUE)</f>
        <v>Q1 2020</v>
      </c>
    </row>
    <row r="350" spans="1:9" x14ac:dyDescent="0.2">
      <c r="A350" s="2" t="s">
        <v>43</v>
      </c>
      <c r="B350" s="10">
        <v>43890</v>
      </c>
      <c r="C350" s="5">
        <v>15298</v>
      </c>
      <c r="D350" s="1">
        <f>LEN(VolumebyClient[[#This Row],[CLID]])</f>
        <v>7</v>
      </c>
      <c r="F350" s="1" t="str">
        <f>INDEX(GeobyClient[GEOID],MATCH(VolumebyClient[[#This Row],[CLID]],GeobyClient[Right],0))</f>
        <v>GEO1002</v>
      </c>
      <c r="G350" s="1" t="str">
        <f>VLOOKUP(VolumebyClient[[#This Row],[Index Match Region ID]],GEONames[[GEOID]:[GEO NAME]],2,FALSE)</f>
        <v>APAC</v>
      </c>
      <c r="H350" s="1" t="str">
        <f>"Q"&amp;ROUNDUP(MONTH(VolumebyClient[[#This Row],[Date]])/3,0)&amp;" "&amp;YEAR(VolumebyClient[[#This Row],[Date]])</f>
        <v>Q1 2020</v>
      </c>
      <c r="I350" s="1" t="str">
        <f>VLOOKUP(VolumebyClient[[#This Row],[Date]],Quarters[],3,TRUE)</f>
        <v>Q1 2020</v>
      </c>
    </row>
    <row r="351" spans="1:9" x14ac:dyDescent="0.2">
      <c r="A351" s="2" t="s">
        <v>43</v>
      </c>
      <c r="B351" s="10">
        <v>43921</v>
      </c>
      <c r="C351" s="5">
        <v>16992</v>
      </c>
      <c r="D351" s="1">
        <f>LEN(VolumebyClient[[#This Row],[CLID]])</f>
        <v>7</v>
      </c>
      <c r="F351" s="1" t="str">
        <f>INDEX(GeobyClient[GEOID],MATCH(VolumebyClient[[#This Row],[CLID]],GeobyClient[Right],0))</f>
        <v>GEO1002</v>
      </c>
      <c r="G351" s="1" t="str">
        <f>VLOOKUP(VolumebyClient[[#This Row],[Index Match Region ID]],GEONames[[GEOID]:[GEO NAME]],2,FALSE)</f>
        <v>APAC</v>
      </c>
      <c r="H351" s="1" t="str">
        <f>"Q"&amp;ROUNDUP(MONTH(VolumebyClient[[#This Row],[Date]])/3,0)&amp;" "&amp;YEAR(VolumebyClient[[#This Row],[Date]])</f>
        <v>Q1 2020</v>
      </c>
      <c r="I351" s="1" t="str">
        <f>VLOOKUP(VolumebyClient[[#This Row],[Date]],Quarters[],3,TRUE)</f>
        <v>Q1 2020</v>
      </c>
    </row>
    <row r="352" spans="1:9" x14ac:dyDescent="0.2">
      <c r="A352" s="2" t="s">
        <v>43</v>
      </c>
      <c r="B352" s="10">
        <v>43951</v>
      </c>
      <c r="C352" s="5">
        <v>20394</v>
      </c>
      <c r="D352" s="1">
        <f>LEN(VolumebyClient[[#This Row],[CLID]])</f>
        <v>7</v>
      </c>
      <c r="F352" s="1" t="str">
        <f>INDEX(GeobyClient[GEOID],MATCH(VolumebyClient[[#This Row],[CLID]],GeobyClient[Right],0))</f>
        <v>GEO1002</v>
      </c>
      <c r="G352" s="1" t="str">
        <f>VLOOKUP(VolumebyClient[[#This Row],[Index Match Region ID]],GEONames[[GEOID]:[GEO NAME]],2,FALSE)</f>
        <v>APAC</v>
      </c>
      <c r="H352" s="1" t="str">
        <f>"Q"&amp;ROUNDUP(MONTH(VolumebyClient[[#This Row],[Date]])/3,0)&amp;" "&amp;YEAR(VolumebyClient[[#This Row],[Date]])</f>
        <v>Q2 2020</v>
      </c>
      <c r="I352" s="1" t="str">
        <f>VLOOKUP(VolumebyClient[[#This Row],[Date]],Quarters[],3,TRUE)</f>
        <v>Q2 2020</v>
      </c>
    </row>
    <row r="353" spans="1:9" x14ac:dyDescent="0.2">
      <c r="A353" s="2" t="s">
        <v>43</v>
      </c>
      <c r="B353" s="10">
        <v>43982</v>
      </c>
      <c r="C353" s="5">
        <v>18695</v>
      </c>
      <c r="D353" s="1">
        <f>LEN(VolumebyClient[[#This Row],[CLID]])</f>
        <v>7</v>
      </c>
      <c r="F353" s="1" t="str">
        <f>INDEX(GeobyClient[GEOID],MATCH(VolumebyClient[[#This Row],[CLID]],GeobyClient[Right],0))</f>
        <v>GEO1002</v>
      </c>
      <c r="G353" s="1" t="str">
        <f>VLOOKUP(VolumebyClient[[#This Row],[Index Match Region ID]],GEONames[[GEOID]:[GEO NAME]],2,FALSE)</f>
        <v>APAC</v>
      </c>
      <c r="H353" s="1" t="str">
        <f>"Q"&amp;ROUNDUP(MONTH(VolumebyClient[[#This Row],[Date]])/3,0)&amp;" "&amp;YEAR(VolumebyClient[[#This Row],[Date]])</f>
        <v>Q2 2020</v>
      </c>
      <c r="I353" s="1" t="str">
        <f>VLOOKUP(VolumebyClient[[#This Row],[Date]],Quarters[],3,TRUE)</f>
        <v>Q2 2020</v>
      </c>
    </row>
    <row r="354" spans="1:9" x14ac:dyDescent="0.2">
      <c r="A354" s="2" t="s">
        <v>43</v>
      </c>
      <c r="B354" s="10">
        <v>44012</v>
      </c>
      <c r="C354" s="5">
        <v>13597</v>
      </c>
      <c r="D354" s="1">
        <f>LEN(VolumebyClient[[#This Row],[CLID]])</f>
        <v>7</v>
      </c>
      <c r="F354" s="1" t="str">
        <f>INDEX(GeobyClient[GEOID],MATCH(VolumebyClient[[#This Row],[CLID]],GeobyClient[Right],0))</f>
        <v>GEO1002</v>
      </c>
      <c r="G354" s="1" t="str">
        <f>VLOOKUP(VolumebyClient[[#This Row],[Index Match Region ID]],GEONames[[GEOID]:[GEO NAME]],2,FALSE)</f>
        <v>APAC</v>
      </c>
      <c r="H354" s="1" t="str">
        <f>"Q"&amp;ROUNDUP(MONTH(VolumebyClient[[#This Row],[Date]])/3,0)&amp;" "&amp;YEAR(VolumebyClient[[#This Row],[Date]])</f>
        <v>Q2 2020</v>
      </c>
      <c r="I354" s="1" t="str">
        <f>VLOOKUP(VolumebyClient[[#This Row],[Date]],Quarters[],3,TRUE)</f>
        <v>Q2 2020</v>
      </c>
    </row>
    <row r="355" spans="1:9" x14ac:dyDescent="0.2">
      <c r="A355" s="2" t="s">
        <v>43</v>
      </c>
      <c r="B355" s="10">
        <v>44043</v>
      </c>
      <c r="C355" s="5">
        <v>11899</v>
      </c>
      <c r="D355" s="1">
        <f>LEN(VolumebyClient[[#This Row],[CLID]])</f>
        <v>7</v>
      </c>
      <c r="F355" s="1" t="str">
        <f>INDEX(GeobyClient[GEOID],MATCH(VolumebyClient[[#This Row],[CLID]],GeobyClient[Right],0))</f>
        <v>GEO1002</v>
      </c>
      <c r="G355" s="1" t="str">
        <f>VLOOKUP(VolumebyClient[[#This Row],[Index Match Region ID]],GEONames[[GEOID]:[GEO NAME]],2,FALSE)</f>
        <v>APAC</v>
      </c>
      <c r="H355" s="1" t="str">
        <f>"Q"&amp;ROUNDUP(MONTH(VolumebyClient[[#This Row],[Date]])/3,0)&amp;" "&amp;YEAR(VolumebyClient[[#This Row],[Date]])</f>
        <v>Q3 2020</v>
      </c>
      <c r="I355" s="1" t="str">
        <f>VLOOKUP(VolumebyClient[[#This Row],[Date]],Quarters[],3,TRUE)</f>
        <v>Q3 2020</v>
      </c>
    </row>
    <row r="356" spans="1:9" x14ac:dyDescent="0.2">
      <c r="A356" s="2" t="s">
        <v>43</v>
      </c>
      <c r="B356" s="10">
        <v>44074</v>
      </c>
      <c r="C356" s="5">
        <v>10197</v>
      </c>
      <c r="D356" s="1">
        <f>LEN(VolumebyClient[[#This Row],[CLID]])</f>
        <v>7</v>
      </c>
      <c r="F356" s="1" t="str">
        <f>INDEX(GeobyClient[GEOID],MATCH(VolumebyClient[[#This Row],[CLID]],GeobyClient[Right],0))</f>
        <v>GEO1002</v>
      </c>
      <c r="G356" s="1" t="str">
        <f>VLOOKUP(VolumebyClient[[#This Row],[Index Match Region ID]],GEONames[[GEOID]:[GEO NAME]],2,FALSE)</f>
        <v>APAC</v>
      </c>
      <c r="H356" s="1" t="str">
        <f>"Q"&amp;ROUNDUP(MONTH(VolumebyClient[[#This Row],[Date]])/3,0)&amp;" "&amp;YEAR(VolumebyClient[[#This Row],[Date]])</f>
        <v>Q3 2020</v>
      </c>
      <c r="I356" s="1" t="str">
        <f>VLOOKUP(VolumebyClient[[#This Row],[Date]],Quarters[],3,TRUE)</f>
        <v>Q3 2020</v>
      </c>
    </row>
    <row r="357" spans="1:9" x14ac:dyDescent="0.2">
      <c r="A357" s="2" t="s">
        <v>43</v>
      </c>
      <c r="B357" s="10">
        <v>44104</v>
      </c>
      <c r="C357" s="5">
        <v>10196</v>
      </c>
      <c r="D357" s="1">
        <f>LEN(VolumebyClient[[#This Row],[CLID]])</f>
        <v>7</v>
      </c>
      <c r="F357" s="1" t="str">
        <f>INDEX(GeobyClient[GEOID],MATCH(VolumebyClient[[#This Row],[CLID]],GeobyClient[Right],0))</f>
        <v>GEO1002</v>
      </c>
      <c r="G357" s="1" t="str">
        <f>VLOOKUP(VolumebyClient[[#This Row],[Index Match Region ID]],GEONames[[GEOID]:[GEO NAME]],2,FALSE)</f>
        <v>APAC</v>
      </c>
      <c r="H357" s="1" t="str">
        <f>"Q"&amp;ROUNDUP(MONTH(VolumebyClient[[#This Row],[Date]])/3,0)&amp;" "&amp;YEAR(VolumebyClient[[#This Row],[Date]])</f>
        <v>Q3 2020</v>
      </c>
      <c r="I357" s="1" t="str">
        <f>VLOOKUP(VolumebyClient[[#This Row],[Date]],Quarters[],3,TRUE)</f>
        <v>Q3 2020</v>
      </c>
    </row>
    <row r="358" spans="1:9" x14ac:dyDescent="0.2">
      <c r="A358" s="2" t="s">
        <v>43</v>
      </c>
      <c r="B358" s="10">
        <v>44135</v>
      </c>
      <c r="C358" s="5">
        <v>11895</v>
      </c>
      <c r="D358" s="1">
        <f>LEN(VolumebyClient[[#This Row],[CLID]])</f>
        <v>7</v>
      </c>
      <c r="F358" s="1" t="str">
        <f>INDEX(GeobyClient[GEOID],MATCH(VolumebyClient[[#This Row],[CLID]],GeobyClient[Right],0))</f>
        <v>GEO1002</v>
      </c>
      <c r="G358" s="1" t="str">
        <f>VLOOKUP(VolumebyClient[[#This Row],[Index Match Region ID]],GEONames[[GEOID]:[GEO NAME]],2,FALSE)</f>
        <v>APAC</v>
      </c>
      <c r="H358" s="1" t="str">
        <f>"Q"&amp;ROUNDUP(MONTH(VolumebyClient[[#This Row],[Date]])/3,0)&amp;" "&amp;YEAR(VolumebyClient[[#This Row],[Date]])</f>
        <v>Q4 2020</v>
      </c>
      <c r="I358" s="1" t="str">
        <f>VLOOKUP(VolumebyClient[[#This Row],[Date]],Quarters[],3,TRUE)</f>
        <v>Q4 2020</v>
      </c>
    </row>
    <row r="359" spans="1:9" x14ac:dyDescent="0.2">
      <c r="A359" s="2" t="s">
        <v>43</v>
      </c>
      <c r="B359" s="10">
        <v>44165</v>
      </c>
      <c r="C359" s="5">
        <v>13596</v>
      </c>
      <c r="D359" s="1">
        <f>LEN(VolumebyClient[[#This Row],[CLID]])</f>
        <v>7</v>
      </c>
      <c r="F359" s="1" t="str">
        <f>INDEX(GeobyClient[GEOID],MATCH(VolumebyClient[[#This Row],[CLID]],GeobyClient[Right],0))</f>
        <v>GEO1002</v>
      </c>
      <c r="G359" s="1" t="str">
        <f>VLOOKUP(VolumebyClient[[#This Row],[Index Match Region ID]],GEONames[[GEOID]:[GEO NAME]],2,FALSE)</f>
        <v>APAC</v>
      </c>
      <c r="H359" s="1" t="str">
        <f>"Q"&amp;ROUNDUP(MONTH(VolumebyClient[[#This Row],[Date]])/3,0)&amp;" "&amp;YEAR(VolumebyClient[[#This Row],[Date]])</f>
        <v>Q4 2020</v>
      </c>
      <c r="I359" s="1" t="str">
        <f>VLOOKUP(VolumebyClient[[#This Row],[Date]],Quarters[],3,TRUE)</f>
        <v>Q4 2020</v>
      </c>
    </row>
    <row r="360" spans="1:9" x14ac:dyDescent="0.2">
      <c r="A360" s="2" t="s">
        <v>43</v>
      </c>
      <c r="B360" s="10">
        <v>44196</v>
      </c>
      <c r="C360" s="5">
        <v>13595</v>
      </c>
      <c r="D360" s="1">
        <f>LEN(VolumebyClient[[#This Row],[CLID]])</f>
        <v>7</v>
      </c>
      <c r="F360" s="1" t="str">
        <f>INDEX(GeobyClient[GEOID],MATCH(VolumebyClient[[#This Row],[CLID]],GeobyClient[Right],0))</f>
        <v>GEO1002</v>
      </c>
      <c r="G360" s="1" t="str">
        <f>VLOOKUP(VolumebyClient[[#This Row],[Index Match Region ID]],GEONames[[GEOID]:[GEO NAME]],2,FALSE)</f>
        <v>APAC</v>
      </c>
      <c r="H360" s="1" t="str">
        <f>"Q"&amp;ROUNDUP(MONTH(VolumebyClient[[#This Row],[Date]])/3,0)&amp;" "&amp;YEAR(VolumebyClient[[#This Row],[Date]])</f>
        <v>Q4 2020</v>
      </c>
      <c r="I360" s="1" t="str">
        <f>VLOOKUP(VolumebyClient[[#This Row],[Date]],Quarters[],3,TRUE)</f>
        <v>Q4 2020</v>
      </c>
    </row>
    <row r="361" spans="1:9" x14ac:dyDescent="0.2">
      <c r="A361" s="2" t="s">
        <v>43</v>
      </c>
      <c r="B361" s="10">
        <v>44377</v>
      </c>
      <c r="C361" s="5">
        <v>13732</v>
      </c>
      <c r="D361" s="1">
        <f>LEN(VolumebyClient[[#This Row],[CLID]])</f>
        <v>7</v>
      </c>
      <c r="F361" s="1" t="str">
        <f>INDEX(GeobyClient[GEOID],MATCH(VolumebyClient[[#This Row],[CLID]],GeobyClient[Right],0))</f>
        <v>GEO1002</v>
      </c>
      <c r="G361" s="1" t="str">
        <f>VLOOKUP(VolumebyClient[[#This Row],[Index Match Region ID]],GEONames[[GEOID]:[GEO NAME]],2,FALSE)</f>
        <v>APAC</v>
      </c>
      <c r="H361" s="1" t="str">
        <f>"Q"&amp;ROUNDUP(MONTH(VolumebyClient[[#This Row],[Date]])/3,0)&amp;" "&amp;YEAR(VolumebyClient[[#This Row],[Date]])</f>
        <v>Q2 2021</v>
      </c>
      <c r="I361" s="1" t="str">
        <f>VLOOKUP(VolumebyClient[[#This Row],[Date]],Quarters[],3,TRUE)</f>
        <v>Q2 2021</v>
      </c>
    </row>
    <row r="362" spans="1:9" x14ac:dyDescent="0.2">
      <c r="A362" s="2" t="s">
        <v>43</v>
      </c>
      <c r="B362" s="10">
        <v>44347</v>
      </c>
      <c r="C362" s="5">
        <v>19253</v>
      </c>
      <c r="D362" s="1">
        <f>LEN(VolumebyClient[[#This Row],[CLID]])</f>
        <v>7</v>
      </c>
      <c r="F362" s="1" t="str">
        <f>INDEX(GeobyClient[GEOID],MATCH(VolumebyClient[[#This Row],[CLID]],GeobyClient[Right],0))</f>
        <v>GEO1002</v>
      </c>
      <c r="G362" s="1" t="str">
        <f>VLOOKUP(VolumebyClient[[#This Row],[Index Match Region ID]],GEONames[[GEOID]:[GEO NAME]],2,FALSE)</f>
        <v>APAC</v>
      </c>
      <c r="H362" s="1" t="str">
        <f>"Q"&amp;ROUNDUP(MONTH(VolumebyClient[[#This Row],[Date]])/3,0)&amp;" "&amp;YEAR(VolumebyClient[[#This Row],[Date]])</f>
        <v>Q2 2021</v>
      </c>
      <c r="I362" s="1" t="str">
        <f>VLOOKUP(VolumebyClient[[#This Row],[Date]],Quarters[],3,TRUE)</f>
        <v>Q2 2021</v>
      </c>
    </row>
    <row r="363" spans="1:9" x14ac:dyDescent="0.2">
      <c r="A363" s="2" t="s">
        <v>43</v>
      </c>
      <c r="B363" s="10">
        <v>44316</v>
      </c>
      <c r="C363" s="5">
        <v>20185</v>
      </c>
      <c r="D363" s="1">
        <f>LEN(VolumebyClient[[#This Row],[CLID]])</f>
        <v>7</v>
      </c>
      <c r="F363" s="1" t="str">
        <f>INDEX(GeobyClient[GEOID],MATCH(VolumebyClient[[#This Row],[CLID]],GeobyClient[Right],0))</f>
        <v>GEO1002</v>
      </c>
      <c r="G363" s="1" t="str">
        <f>VLOOKUP(VolumebyClient[[#This Row],[Index Match Region ID]],GEONames[[GEOID]:[GEO NAME]],2,FALSE)</f>
        <v>APAC</v>
      </c>
      <c r="H363" s="1" t="str">
        <f>"Q"&amp;ROUNDUP(MONTH(VolumebyClient[[#This Row],[Date]])/3,0)&amp;" "&amp;YEAR(VolumebyClient[[#This Row],[Date]])</f>
        <v>Q2 2021</v>
      </c>
      <c r="I363" s="1" t="str">
        <f>VLOOKUP(VolumebyClient[[#This Row],[Date]],Quarters[],3,TRUE)</f>
        <v>Q2 2021</v>
      </c>
    </row>
    <row r="364" spans="1:9" x14ac:dyDescent="0.2">
      <c r="A364" s="2" t="s">
        <v>43</v>
      </c>
      <c r="B364" s="10">
        <v>44286</v>
      </c>
      <c r="C364" s="5">
        <v>17502</v>
      </c>
      <c r="D364" s="1">
        <f>LEN(VolumebyClient[[#This Row],[CLID]])</f>
        <v>7</v>
      </c>
      <c r="F364" s="1" t="str">
        <f>INDEX(GeobyClient[GEOID],MATCH(VolumebyClient[[#This Row],[CLID]],GeobyClient[Right],0))</f>
        <v>GEO1002</v>
      </c>
      <c r="G364" s="1" t="str">
        <f>VLOOKUP(VolumebyClient[[#This Row],[Index Match Region ID]],GEONames[[GEOID]:[GEO NAME]],2,FALSE)</f>
        <v>APAC</v>
      </c>
      <c r="H364" s="1" t="str">
        <f>"Q"&amp;ROUNDUP(MONTH(VolumebyClient[[#This Row],[Date]])/3,0)&amp;" "&amp;YEAR(VolumebyClient[[#This Row],[Date]])</f>
        <v>Q1 2021</v>
      </c>
      <c r="I364" s="1" t="str">
        <f>VLOOKUP(VolumebyClient[[#This Row],[Date]],Quarters[],3,TRUE)</f>
        <v>Q1 2021</v>
      </c>
    </row>
    <row r="365" spans="1:9" x14ac:dyDescent="0.2">
      <c r="A365" s="2" t="s">
        <v>43</v>
      </c>
      <c r="B365" s="10">
        <v>44255</v>
      </c>
      <c r="C365" s="5">
        <v>16057</v>
      </c>
      <c r="D365" s="1">
        <f>LEN(VolumebyClient[[#This Row],[CLID]])</f>
        <v>7</v>
      </c>
      <c r="F365" s="1" t="str">
        <f>INDEX(GeobyClient[GEOID],MATCH(VolumebyClient[[#This Row],[CLID]],GeobyClient[Right],0))</f>
        <v>GEO1002</v>
      </c>
      <c r="G365" s="1" t="str">
        <f>VLOOKUP(VolumebyClient[[#This Row],[Index Match Region ID]],GEONames[[GEOID]:[GEO NAME]],2,FALSE)</f>
        <v>APAC</v>
      </c>
      <c r="H365" s="1" t="str">
        <f>"Q"&amp;ROUNDUP(MONTH(VolumebyClient[[#This Row],[Date]])/3,0)&amp;" "&amp;YEAR(VolumebyClient[[#This Row],[Date]])</f>
        <v>Q1 2021</v>
      </c>
      <c r="I365" s="1" t="str">
        <f>VLOOKUP(VolumebyClient[[#This Row],[Date]],Quarters[],3,TRUE)</f>
        <v>Q1 2021</v>
      </c>
    </row>
    <row r="366" spans="1:9" x14ac:dyDescent="0.2">
      <c r="A366" s="2" t="s">
        <v>43</v>
      </c>
      <c r="B366" s="10">
        <v>44227</v>
      </c>
      <c r="C366" s="5">
        <v>14276</v>
      </c>
      <c r="D366" s="1">
        <f>LEN(VolumebyClient[[#This Row],[CLID]])</f>
        <v>7</v>
      </c>
      <c r="F366" s="1" t="str">
        <f>INDEX(GeobyClient[GEOID],MATCH(VolumebyClient[[#This Row],[CLID]],GeobyClient[Right],0))</f>
        <v>GEO1002</v>
      </c>
      <c r="G366" s="1" t="str">
        <f>VLOOKUP(VolumebyClient[[#This Row],[Index Match Region ID]],GEONames[[GEOID]:[GEO NAME]],2,FALSE)</f>
        <v>APAC</v>
      </c>
      <c r="H366" s="1" t="str">
        <f>"Q"&amp;ROUNDUP(MONTH(VolumebyClient[[#This Row],[Date]])/3,0)&amp;" "&amp;YEAR(VolumebyClient[[#This Row],[Date]])</f>
        <v>Q1 2021</v>
      </c>
      <c r="I366" s="1" t="str">
        <f>VLOOKUP(VolumebyClient[[#This Row],[Date]],Quarters[],3,TRUE)</f>
        <v>Q1 2021</v>
      </c>
    </row>
    <row r="367" spans="1:9" x14ac:dyDescent="0.2">
      <c r="A367" s="2" t="s">
        <v>26</v>
      </c>
      <c r="B367" s="10">
        <v>43861</v>
      </c>
      <c r="C367" s="5">
        <v>864</v>
      </c>
      <c r="D367" s="1">
        <f>LEN(VolumebyClient[[#This Row],[CLID]])</f>
        <v>7</v>
      </c>
      <c r="F367" s="1" t="str">
        <f>INDEX(GeobyClient[GEOID],MATCH(VolumebyClient[[#This Row],[CLID]],GeobyClient[Right],0))</f>
        <v>GEO1001</v>
      </c>
      <c r="G367" s="1" t="str">
        <f>VLOOKUP(VolumebyClient[[#This Row],[Index Match Region ID]],GEONames[[GEOID]:[GEO NAME]],2,FALSE)</f>
        <v>NAM</v>
      </c>
      <c r="H367" s="1" t="str">
        <f>"Q"&amp;ROUNDUP(MONTH(VolumebyClient[[#This Row],[Date]])/3,0)&amp;" "&amp;YEAR(VolumebyClient[[#This Row],[Date]])</f>
        <v>Q1 2020</v>
      </c>
      <c r="I367" s="1" t="str">
        <f>VLOOKUP(VolumebyClient[[#This Row],[Date]],Quarters[],3,TRUE)</f>
        <v>Q1 2020</v>
      </c>
    </row>
    <row r="368" spans="1:9" x14ac:dyDescent="0.2">
      <c r="A368" s="2" t="s">
        <v>26</v>
      </c>
      <c r="B368" s="10">
        <v>43890</v>
      </c>
      <c r="C368" s="5">
        <v>765</v>
      </c>
      <c r="D368" s="1">
        <f>LEN(VolumebyClient[[#This Row],[CLID]])</f>
        <v>7</v>
      </c>
      <c r="F368" s="1" t="str">
        <f>INDEX(GeobyClient[GEOID],MATCH(VolumebyClient[[#This Row],[CLID]],GeobyClient[Right],0))</f>
        <v>GEO1001</v>
      </c>
      <c r="G368" s="1" t="str">
        <f>VLOOKUP(VolumebyClient[[#This Row],[Index Match Region ID]],GEONames[[GEOID]:[GEO NAME]],2,FALSE)</f>
        <v>NAM</v>
      </c>
      <c r="H368" s="1" t="str">
        <f>"Q"&amp;ROUNDUP(MONTH(VolumebyClient[[#This Row],[Date]])/3,0)&amp;" "&amp;YEAR(VolumebyClient[[#This Row],[Date]])</f>
        <v>Q1 2020</v>
      </c>
      <c r="I368" s="1" t="str">
        <f>VLOOKUP(VolumebyClient[[#This Row],[Date]],Quarters[],3,TRUE)</f>
        <v>Q1 2020</v>
      </c>
    </row>
    <row r="369" spans="1:9" x14ac:dyDescent="0.2">
      <c r="A369" s="2" t="s">
        <v>26</v>
      </c>
      <c r="B369" s="10">
        <v>43921</v>
      </c>
      <c r="C369" s="5">
        <v>1051</v>
      </c>
      <c r="D369" s="1">
        <f>LEN(VolumebyClient[[#This Row],[CLID]])</f>
        <v>7</v>
      </c>
      <c r="F369" s="1" t="str">
        <f>INDEX(GeobyClient[GEOID],MATCH(VolumebyClient[[#This Row],[CLID]],GeobyClient[Right],0))</f>
        <v>GEO1001</v>
      </c>
      <c r="G369" s="1" t="str">
        <f>VLOOKUP(VolumebyClient[[#This Row],[Index Match Region ID]],GEONames[[GEOID]:[GEO NAME]],2,FALSE)</f>
        <v>NAM</v>
      </c>
      <c r="H369" s="1" t="str">
        <f>"Q"&amp;ROUNDUP(MONTH(VolumebyClient[[#This Row],[Date]])/3,0)&amp;" "&amp;YEAR(VolumebyClient[[#This Row],[Date]])</f>
        <v>Q1 2020</v>
      </c>
      <c r="I369" s="1" t="str">
        <f>VLOOKUP(VolumebyClient[[#This Row],[Date]],Quarters[],3,TRUE)</f>
        <v>Q1 2020</v>
      </c>
    </row>
    <row r="370" spans="1:9" x14ac:dyDescent="0.2">
      <c r="A370" s="2" t="s">
        <v>26</v>
      </c>
      <c r="B370" s="10">
        <v>43951</v>
      </c>
      <c r="C370" s="5">
        <v>1053</v>
      </c>
      <c r="D370" s="1">
        <f>LEN(VolumebyClient[[#This Row],[CLID]])</f>
        <v>7</v>
      </c>
      <c r="F370" s="1" t="str">
        <f>INDEX(GeobyClient[GEOID],MATCH(VolumebyClient[[#This Row],[CLID]],GeobyClient[Right],0))</f>
        <v>GEO1001</v>
      </c>
      <c r="G370" s="1" t="str">
        <f>VLOOKUP(VolumebyClient[[#This Row],[Index Match Region ID]],GEONames[[GEOID]:[GEO NAME]],2,FALSE)</f>
        <v>NAM</v>
      </c>
      <c r="H370" s="1" t="str">
        <f>"Q"&amp;ROUNDUP(MONTH(VolumebyClient[[#This Row],[Date]])/3,0)&amp;" "&amp;YEAR(VolumebyClient[[#This Row],[Date]])</f>
        <v>Q2 2020</v>
      </c>
      <c r="I370" s="1" t="str">
        <f>VLOOKUP(VolumebyClient[[#This Row],[Date]],Quarters[],3,TRUE)</f>
        <v>Q2 2020</v>
      </c>
    </row>
    <row r="371" spans="1:9" x14ac:dyDescent="0.2">
      <c r="A371" s="2" t="s">
        <v>26</v>
      </c>
      <c r="B371" s="10">
        <v>43982</v>
      </c>
      <c r="C371" s="5">
        <v>1146</v>
      </c>
      <c r="D371" s="1">
        <f>LEN(VolumebyClient[[#This Row],[CLID]])</f>
        <v>7</v>
      </c>
      <c r="F371" s="1" t="str">
        <f>INDEX(GeobyClient[GEOID],MATCH(VolumebyClient[[#This Row],[CLID]],GeobyClient[Right],0))</f>
        <v>GEO1001</v>
      </c>
      <c r="G371" s="1" t="str">
        <f>VLOOKUP(VolumebyClient[[#This Row],[Index Match Region ID]],GEONames[[GEOID]:[GEO NAME]],2,FALSE)</f>
        <v>NAM</v>
      </c>
      <c r="H371" s="1" t="str">
        <f>"Q"&amp;ROUNDUP(MONTH(VolumebyClient[[#This Row],[Date]])/3,0)&amp;" "&amp;YEAR(VolumebyClient[[#This Row],[Date]])</f>
        <v>Q2 2020</v>
      </c>
      <c r="I371" s="1" t="str">
        <f>VLOOKUP(VolumebyClient[[#This Row],[Date]],Quarters[],3,TRUE)</f>
        <v>Q2 2020</v>
      </c>
    </row>
    <row r="372" spans="1:9" x14ac:dyDescent="0.2">
      <c r="A372" s="2" t="s">
        <v>26</v>
      </c>
      <c r="B372" s="10">
        <v>44012</v>
      </c>
      <c r="C372" s="5">
        <v>674</v>
      </c>
      <c r="D372" s="1">
        <f>LEN(VolumebyClient[[#This Row],[CLID]])</f>
        <v>7</v>
      </c>
      <c r="F372" s="1" t="str">
        <f>INDEX(GeobyClient[GEOID],MATCH(VolumebyClient[[#This Row],[CLID]],GeobyClient[Right],0))</f>
        <v>GEO1001</v>
      </c>
      <c r="G372" s="1" t="str">
        <f>VLOOKUP(VolumebyClient[[#This Row],[Index Match Region ID]],GEONames[[GEOID]:[GEO NAME]],2,FALSE)</f>
        <v>NAM</v>
      </c>
      <c r="H372" s="1" t="str">
        <f>"Q"&amp;ROUNDUP(MONTH(VolumebyClient[[#This Row],[Date]])/3,0)&amp;" "&amp;YEAR(VolumebyClient[[#This Row],[Date]])</f>
        <v>Q2 2020</v>
      </c>
      <c r="I372" s="1" t="str">
        <f>VLOOKUP(VolumebyClient[[#This Row],[Date]],Quarters[],3,TRUE)</f>
        <v>Q2 2020</v>
      </c>
    </row>
    <row r="373" spans="1:9" x14ac:dyDescent="0.2">
      <c r="A373" s="2" t="s">
        <v>26</v>
      </c>
      <c r="B373" s="10">
        <v>44043</v>
      </c>
      <c r="C373" s="5">
        <v>764</v>
      </c>
      <c r="D373" s="1">
        <f>LEN(VolumebyClient[[#This Row],[CLID]])</f>
        <v>7</v>
      </c>
      <c r="F373" s="1" t="str">
        <f>INDEX(GeobyClient[GEOID],MATCH(VolumebyClient[[#This Row],[CLID]],GeobyClient[Right],0))</f>
        <v>GEO1001</v>
      </c>
      <c r="G373" s="1" t="str">
        <f>VLOOKUP(VolumebyClient[[#This Row],[Index Match Region ID]],GEONames[[GEOID]:[GEO NAME]],2,FALSE)</f>
        <v>NAM</v>
      </c>
      <c r="H373" s="1" t="str">
        <f>"Q"&amp;ROUNDUP(MONTH(VolumebyClient[[#This Row],[Date]])/3,0)&amp;" "&amp;YEAR(VolumebyClient[[#This Row],[Date]])</f>
        <v>Q3 2020</v>
      </c>
      <c r="I373" s="1" t="str">
        <f>VLOOKUP(VolumebyClient[[#This Row],[Date]],Quarters[],3,TRUE)</f>
        <v>Q3 2020</v>
      </c>
    </row>
    <row r="374" spans="1:9" x14ac:dyDescent="0.2">
      <c r="A374" s="2" t="s">
        <v>26</v>
      </c>
      <c r="B374" s="10">
        <v>44074</v>
      </c>
      <c r="C374" s="5">
        <v>482</v>
      </c>
      <c r="D374" s="1">
        <f>LEN(VolumebyClient[[#This Row],[CLID]])</f>
        <v>7</v>
      </c>
      <c r="F374" s="1" t="str">
        <f>INDEX(GeobyClient[GEOID],MATCH(VolumebyClient[[#This Row],[CLID]],GeobyClient[Right],0))</f>
        <v>GEO1001</v>
      </c>
      <c r="G374" s="1" t="str">
        <f>VLOOKUP(VolumebyClient[[#This Row],[Index Match Region ID]],GEONames[[GEOID]:[GEO NAME]],2,FALSE)</f>
        <v>NAM</v>
      </c>
      <c r="H374" s="1" t="str">
        <f>"Q"&amp;ROUNDUP(MONTH(VolumebyClient[[#This Row],[Date]])/3,0)&amp;" "&amp;YEAR(VolumebyClient[[#This Row],[Date]])</f>
        <v>Q3 2020</v>
      </c>
      <c r="I374" s="1" t="str">
        <f>VLOOKUP(VolumebyClient[[#This Row],[Date]],Quarters[],3,TRUE)</f>
        <v>Q3 2020</v>
      </c>
    </row>
    <row r="375" spans="1:9" x14ac:dyDescent="0.2">
      <c r="A375" s="2" t="s">
        <v>26</v>
      </c>
      <c r="B375" s="10">
        <v>44104</v>
      </c>
      <c r="C375" s="5">
        <v>673</v>
      </c>
      <c r="D375" s="1">
        <f>LEN(VolumebyClient[[#This Row],[CLID]])</f>
        <v>7</v>
      </c>
      <c r="F375" s="1" t="str">
        <f>INDEX(GeobyClient[GEOID],MATCH(VolumebyClient[[#This Row],[CLID]],GeobyClient[Right],0))</f>
        <v>GEO1001</v>
      </c>
      <c r="G375" s="1" t="str">
        <f>VLOOKUP(VolumebyClient[[#This Row],[Index Match Region ID]],GEONames[[GEOID]:[GEO NAME]],2,FALSE)</f>
        <v>NAM</v>
      </c>
      <c r="H375" s="1" t="str">
        <f>"Q"&amp;ROUNDUP(MONTH(VolumebyClient[[#This Row],[Date]])/3,0)&amp;" "&amp;YEAR(VolumebyClient[[#This Row],[Date]])</f>
        <v>Q3 2020</v>
      </c>
      <c r="I375" s="1" t="str">
        <f>VLOOKUP(VolumebyClient[[#This Row],[Date]],Quarters[],3,TRUE)</f>
        <v>Q3 2020</v>
      </c>
    </row>
    <row r="376" spans="1:9" x14ac:dyDescent="0.2">
      <c r="A376" s="2" t="s">
        <v>26</v>
      </c>
      <c r="B376" s="10">
        <v>44135</v>
      </c>
      <c r="C376" s="5">
        <v>575</v>
      </c>
      <c r="D376" s="1">
        <f>LEN(VolumebyClient[[#This Row],[CLID]])</f>
        <v>7</v>
      </c>
      <c r="F376" s="1" t="str">
        <f>INDEX(GeobyClient[GEOID],MATCH(VolumebyClient[[#This Row],[CLID]],GeobyClient[Right],0))</f>
        <v>GEO1001</v>
      </c>
      <c r="G376" s="1" t="str">
        <f>VLOOKUP(VolumebyClient[[#This Row],[Index Match Region ID]],GEONames[[GEOID]:[GEO NAME]],2,FALSE)</f>
        <v>NAM</v>
      </c>
      <c r="H376" s="1" t="str">
        <f>"Q"&amp;ROUNDUP(MONTH(VolumebyClient[[#This Row],[Date]])/3,0)&amp;" "&amp;YEAR(VolumebyClient[[#This Row],[Date]])</f>
        <v>Q4 2020</v>
      </c>
      <c r="I376" s="1" t="str">
        <f>VLOOKUP(VolumebyClient[[#This Row],[Date]],Quarters[],3,TRUE)</f>
        <v>Q4 2020</v>
      </c>
    </row>
    <row r="377" spans="1:9" x14ac:dyDescent="0.2">
      <c r="A377" s="2" t="s">
        <v>26</v>
      </c>
      <c r="B377" s="10">
        <v>44165</v>
      </c>
      <c r="C377" s="5">
        <v>865</v>
      </c>
      <c r="D377" s="1">
        <f>LEN(VolumebyClient[[#This Row],[CLID]])</f>
        <v>7</v>
      </c>
      <c r="F377" s="1" t="str">
        <f>INDEX(GeobyClient[GEOID],MATCH(VolumebyClient[[#This Row],[CLID]],GeobyClient[Right],0))</f>
        <v>GEO1001</v>
      </c>
      <c r="G377" s="1" t="str">
        <f>VLOOKUP(VolumebyClient[[#This Row],[Index Match Region ID]],GEONames[[GEOID]:[GEO NAME]],2,FALSE)</f>
        <v>NAM</v>
      </c>
      <c r="H377" s="1" t="str">
        <f>"Q"&amp;ROUNDUP(MONTH(VolumebyClient[[#This Row],[Date]])/3,0)&amp;" "&amp;YEAR(VolumebyClient[[#This Row],[Date]])</f>
        <v>Q4 2020</v>
      </c>
      <c r="I377" s="1" t="str">
        <f>VLOOKUP(VolumebyClient[[#This Row],[Date]],Quarters[],3,TRUE)</f>
        <v>Q4 2020</v>
      </c>
    </row>
    <row r="378" spans="1:9" x14ac:dyDescent="0.2">
      <c r="A378" s="2" t="s">
        <v>26</v>
      </c>
      <c r="B378" s="10">
        <v>44196</v>
      </c>
      <c r="C378" s="5">
        <v>674</v>
      </c>
      <c r="D378" s="1">
        <f>LEN(VolumebyClient[[#This Row],[CLID]])</f>
        <v>7</v>
      </c>
      <c r="F378" s="1" t="str">
        <f>INDEX(GeobyClient[GEOID],MATCH(VolumebyClient[[#This Row],[CLID]],GeobyClient[Right],0))</f>
        <v>GEO1001</v>
      </c>
      <c r="G378" s="1" t="str">
        <f>VLOOKUP(VolumebyClient[[#This Row],[Index Match Region ID]],GEONames[[GEOID]:[GEO NAME]],2,FALSE)</f>
        <v>NAM</v>
      </c>
      <c r="H378" s="1" t="str">
        <f>"Q"&amp;ROUNDUP(MONTH(VolumebyClient[[#This Row],[Date]])/3,0)&amp;" "&amp;YEAR(VolumebyClient[[#This Row],[Date]])</f>
        <v>Q4 2020</v>
      </c>
      <c r="I378" s="1" t="str">
        <f>VLOOKUP(VolumebyClient[[#This Row],[Date]],Quarters[],3,TRUE)</f>
        <v>Q4 2020</v>
      </c>
    </row>
    <row r="379" spans="1:9" x14ac:dyDescent="0.2">
      <c r="A379" s="2" t="s">
        <v>26</v>
      </c>
      <c r="B379" s="10">
        <v>44377</v>
      </c>
      <c r="C379" s="5">
        <v>681</v>
      </c>
      <c r="D379" s="1">
        <f>LEN(VolumebyClient[[#This Row],[CLID]])</f>
        <v>7</v>
      </c>
      <c r="F379" s="1" t="str">
        <f>INDEX(GeobyClient[GEOID],MATCH(VolumebyClient[[#This Row],[CLID]],GeobyClient[Right],0))</f>
        <v>GEO1001</v>
      </c>
      <c r="G379" s="1" t="str">
        <f>VLOOKUP(VolumebyClient[[#This Row],[Index Match Region ID]],GEONames[[GEOID]:[GEO NAME]],2,FALSE)</f>
        <v>NAM</v>
      </c>
      <c r="H379" s="1" t="str">
        <f>"Q"&amp;ROUNDUP(MONTH(VolumebyClient[[#This Row],[Date]])/3,0)&amp;" "&amp;YEAR(VolumebyClient[[#This Row],[Date]])</f>
        <v>Q2 2021</v>
      </c>
      <c r="I379" s="1" t="str">
        <f>VLOOKUP(VolumebyClient[[#This Row],[Date]],Quarters[],3,TRUE)</f>
        <v>Q2 2021</v>
      </c>
    </row>
    <row r="380" spans="1:9" x14ac:dyDescent="0.2">
      <c r="A380" s="2" t="s">
        <v>26</v>
      </c>
      <c r="B380" s="10">
        <v>44347</v>
      </c>
      <c r="C380" s="5">
        <v>1136</v>
      </c>
      <c r="D380" s="1">
        <f>LEN(VolumebyClient[[#This Row],[CLID]])</f>
        <v>7</v>
      </c>
      <c r="F380" s="1" t="str">
        <f>INDEX(GeobyClient[GEOID],MATCH(VolumebyClient[[#This Row],[CLID]],GeobyClient[Right],0))</f>
        <v>GEO1001</v>
      </c>
      <c r="G380" s="1" t="str">
        <f>VLOOKUP(VolumebyClient[[#This Row],[Index Match Region ID]],GEONames[[GEOID]:[GEO NAME]],2,FALSE)</f>
        <v>NAM</v>
      </c>
      <c r="H380" s="1" t="str">
        <f>"Q"&amp;ROUNDUP(MONTH(VolumebyClient[[#This Row],[Date]])/3,0)&amp;" "&amp;YEAR(VolumebyClient[[#This Row],[Date]])</f>
        <v>Q2 2021</v>
      </c>
      <c r="I380" s="1" t="str">
        <f>VLOOKUP(VolumebyClient[[#This Row],[Date]],Quarters[],3,TRUE)</f>
        <v>Q2 2021</v>
      </c>
    </row>
    <row r="381" spans="1:9" x14ac:dyDescent="0.2">
      <c r="A381" s="2" t="s">
        <v>26</v>
      </c>
      <c r="B381" s="10">
        <v>44316</v>
      </c>
      <c r="C381" s="5">
        <v>1095</v>
      </c>
      <c r="D381" s="1">
        <f>LEN(VolumebyClient[[#This Row],[CLID]])</f>
        <v>7</v>
      </c>
      <c r="F381" s="1" t="str">
        <f>INDEX(GeobyClient[GEOID],MATCH(VolumebyClient[[#This Row],[CLID]],GeobyClient[Right],0))</f>
        <v>GEO1001</v>
      </c>
      <c r="G381" s="1" t="str">
        <f>VLOOKUP(VolumebyClient[[#This Row],[Index Match Region ID]],GEONames[[GEOID]:[GEO NAME]],2,FALSE)</f>
        <v>NAM</v>
      </c>
      <c r="H381" s="1" t="str">
        <f>"Q"&amp;ROUNDUP(MONTH(VolumebyClient[[#This Row],[Date]])/3,0)&amp;" "&amp;YEAR(VolumebyClient[[#This Row],[Date]])</f>
        <v>Q2 2021</v>
      </c>
      <c r="I381" s="1" t="str">
        <f>VLOOKUP(VolumebyClient[[#This Row],[Date]],Quarters[],3,TRUE)</f>
        <v>Q2 2021</v>
      </c>
    </row>
    <row r="382" spans="1:9" x14ac:dyDescent="0.2">
      <c r="A382" s="2" t="s">
        <v>26</v>
      </c>
      <c r="B382" s="10">
        <v>44286</v>
      </c>
      <c r="C382" s="5">
        <v>1043</v>
      </c>
      <c r="D382" s="1">
        <f>LEN(VolumebyClient[[#This Row],[CLID]])</f>
        <v>7</v>
      </c>
      <c r="F382" s="1" t="str">
        <f>INDEX(GeobyClient[GEOID],MATCH(VolumebyClient[[#This Row],[CLID]],GeobyClient[Right],0))</f>
        <v>GEO1001</v>
      </c>
      <c r="G382" s="1" t="str">
        <f>VLOOKUP(VolumebyClient[[#This Row],[Index Match Region ID]],GEONames[[GEOID]:[GEO NAME]],2,FALSE)</f>
        <v>NAM</v>
      </c>
      <c r="H382" s="1" t="str">
        <f>"Q"&amp;ROUNDUP(MONTH(VolumebyClient[[#This Row],[Date]])/3,0)&amp;" "&amp;YEAR(VolumebyClient[[#This Row],[Date]])</f>
        <v>Q1 2021</v>
      </c>
      <c r="I382" s="1" t="str">
        <f>VLOOKUP(VolumebyClient[[#This Row],[Date]],Quarters[],3,TRUE)</f>
        <v>Q1 2021</v>
      </c>
    </row>
    <row r="383" spans="1:9" x14ac:dyDescent="0.2">
      <c r="A383" s="2" t="s">
        <v>26</v>
      </c>
      <c r="B383" s="10">
        <v>44255</v>
      </c>
      <c r="C383" s="5">
        <v>797</v>
      </c>
      <c r="D383" s="1">
        <f>LEN(VolumebyClient[[#This Row],[CLID]])</f>
        <v>7</v>
      </c>
      <c r="F383" s="1" t="str">
        <f>INDEX(GeobyClient[GEOID],MATCH(VolumebyClient[[#This Row],[CLID]],GeobyClient[Right],0))</f>
        <v>GEO1001</v>
      </c>
      <c r="G383" s="1" t="str">
        <f>VLOOKUP(VolumebyClient[[#This Row],[Index Match Region ID]],GEONames[[GEOID]:[GEO NAME]],2,FALSE)</f>
        <v>NAM</v>
      </c>
      <c r="H383" s="1" t="str">
        <f>"Q"&amp;ROUNDUP(MONTH(VolumebyClient[[#This Row],[Date]])/3,0)&amp;" "&amp;YEAR(VolumebyClient[[#This Row],[Date]])</f>
        <v>Q1 2021</v>
      </c>
      <c r="I383" s="1" t="str">
        <f>VLOOKUP(VolumebyClient[[#This Row],[Date]],Quarters[],3,TRUE)</f>
        <v>Q1 2021</v>
      </c>
    </row>
    <row r="384" spans="1:9" x14ac:dyDescent="0.2">
      <c r="A384" s="2" t="s">
        <v>26</v>
      </c>
      <c r="B384" s="10">
        <v>44227</v>
      </c>
      <c r="C384" s="5">
        <v>859</v>
      </c>
      <c r="D384" s="1">
        <f>LEN(VolumebyClient[[#This Row],[CLID]])</f>
        <v>7</v>
      </c>
      <c r="F384" s="1" t="str">
        <f>INDEX(GeobyClient[GEOID],MATCH(VolumebyClient[[#This Row],[CLID]],GeobyClient[Right],0))</f>
        <v>GEO1001</v>
      </c>
      <c r="G384" s="1" t="str">
        <f>VLOOKUP(VolumebyClient[[#This Row],[Index Match Region ID]],GEONames[[GEOID]:[GEO NAME]],2,FALSE)</f>
        <v>NAM</v>
      </c>
      <c r="H384" s="1" t="str">
        <f>"Q"&amp;ROUNDUP(MONTH(VolumebyClient[[#This Row],[Date]])/3,0)&amp;" "&amp;YEAR(VolumebyClient[[#This Row],[Date]])</f>
        <v>Q1 2021</v>
      </c>
      <c r="I384" s="1" t="str">
        <f>VLOOKUP(VolumebyClient[[#This Row],[Date]],Quarters[],3,TRUE)</f>
        <v>Q1 2021</v>
      </c>
    </row>
    <row r="385" spans="1:9" x14ac:dyDescent="0.2">
      <c r="A385" s="2" t="s">
        <v>34</v>
      </c>
      <c r="B385" s="10">
        <v>44165</v>
      </c>
      <c r="C385" s="5">
        <v>916</v>
      </c>
      <c r="D385" s="1">
        <f>LEN(VolumebyClient[[#This Row],[CLID]])</f>
        <v>7</v>
      </c>
      <c r="F385" s="1" t="str">
        <f>INDEX(GeobyClient[GEOID],MATCH(VolumebyClient[[#This Row],[CLID]],GeobyClient[Right],0))</f>
        <v>GEO1001</v>
      </c>
      <c r="G385" s="1" t="str">
        <f>VLOOKUP(VolumebyClient[[#This Row],[Index Match Region ID]],GEONames[[GEOID]:[GEO NAME]],2,FALSE)</f>
        <v>NAM</v>
      </c>
      <c r="H385" s="1" t="str">
        <f>"Q"&amp;ROUNDUP(MONTH(VolumebyClient[[#This Row],[Date]])/3,0)&amp;" "&amp;YEAR(VolumebyClient[[#This Row],[Date]])</f>
        <v>Q4 2020</v>
      </c>
      <c r="I385" s="1" t="str">
        <f>VLOOKUP(VolumebyClient[[#This Row],[Date]],Quarters[],3,TRUE)</f>
        <v>Q4 2020</v>
      </c>
    </row>
    <row r="386" spans="1:9" x14ac:dyDescent="0.2">
      <c r="A386" s="2" t="s">
        <v>34</v>
      </c>
      <c r="B386" s="10">
        <v>44196</v>
      </c>
      <c r="C386" s="5">
        <v>1176</v>
      </c>
      <c r="D386" s="1">
        <f>LEN(VolumebyClient[[#This Row],[CLID]])</f>
        <v>7</v>
      </c>
      <c r="F386" s="1" t="str">
        <f>INDEX(GeobyClient[GEOID],MATCH(VolumebyClient[[#This Row],[CLID]],GeobyClient[Right],0))</f>
        <v>GEO1001</v>
      </c>
      <c r="G386" s="1" t="str">
        <f>VLOOKUP(VolumebyClient[[#This Row],[Index Match Region ID]],GEONames[[GEOID]:[GEO NAME]],2,FALSE)</f>
        <v>NAM</v>
      </c>
      <c r="H386" s="1" t="str">
        <f>"Q"&amp;ROUNDUP(MONTH(VolumebyClient[[#This Row],[Date]])/3,0)&amp;" "&amp;YEAR(VolumebyClient[[#This Row],[Date]])</f>
        <v>Q4 2020</v>
      </c>
      <c r="I386" s="1" t="str">
        <f>VLOOKUP(VolumebyClient[[#This Row],[Date]],Quarters[],3,TRUE)</f>
        <v>Q4 2020</v>
      </c>
    </row>
    <row r="387" spans="1:9" x14ac:dyDescent="0.2">
      <c r="A387" s="2" t="s">
        <v>34</v>
      </c>
      <c r="B387" s="10">
        <v>44377</v>
      </c>
      <c r="C387" s="5">
        <v>1193</v>
      </c>
      <c r="D387" s="1">
        <f>LEN(VolumebyClient[[#This Row],[CLID]])</f>
        <v>7</v>
      </c>
      <c r="F387" s="1" t="str">
        <f>INDEX(GeobyClient[GEOID],MATCH(VolumebyClient[[#This Row],[CLID]],GeobyClient[Right],0))</f>
        <v>GEO1001</v>
      </c>
      <c r="G387" s="1" t="str">
        <f>VLOOKUP(VolumebyClient[[#This Row],[Index Match Region ID]],GEONames[[GEOID]:[GEO NAME]],2,FALSE)</f>
        <v>NAM</v>
      </c>
      <c r="H387" s="1" t="str">
        <f>"Q"&amp;ROUNDUP(MONTH(VolumebyClient[[#This Row],[Date]])/3,0)&amp;" "&amp;YEAR(VolumebyClient[[#This Row],[Date]])</f>
        <v>Q2 2021</v>
      </c>
      <c r="I387" s="1" t="str">
        <f>VLOOKUP(VolumebyClient[[#This Row],[Date]],Quarters[],3,TRUE)</f>
        <v>Q2 2021</v>
      </c>
    </row>
    <row r="388" spans="1:9" x14ac:dyDescent="0.2">
      <c r="A388" s="2" t="s">
        <v>34</v>
      </c>
      <c r="B388" s="10">
        <v>44347</v>
      </c>
      <c r="C388" s="5">
        <v>1360</v>
      </c>
      <c r="D388" s="1">
        <f>LEN(VolumebyClient[[#This Row],[CLID]])</f>
        <v>7</v>
      </c>
      <c r="F388" s="1" t="str">
        <f>INDEX(GeobyClient[GEOID],MATCH(VolumebyClient[[#This Row],[CLID]],GeobyClient[Right],0))</f>
        <v>GEO1001</v>
      </c>
      <c r="G388" s="1" t="str">
        <f>VLOOKUP(VolumebyClient[[#This Row],[Index Match Region ID]],GEONames[[GEOID]:[GEO NAME]],2,FALSE)</f>
        <v>NAM</v>
      </c>
      <c r="H388" s="1" t="str">
        <f>"Q"&amp;ROUNDUP(MONTH(VolumebyClient[[#This Row],[Date]])/3,0)&amp;" "&amp;YEAR(VolumebyClient[[#This Row],[Date]])</f>
        <v>Q2 2021</v>
      </c>
      <c r="I388" s="1" t="str">
        <f>VLOOKUP(VolumebyClient[[#This Row],[Date]],Quarters[],3,TRUE)</f>
        <v>Q2 2021</v>
      </c>
    </row>
    <row r="389" spans="1:9" x14ac:dyDescent="0.2">
      <c r="A389" s="2" t="s">
        <v>34</v>
      </c>
      <c r="B389" s="10">
        <v>44316</v>
      </c>
      <c r="C389" s="5">
        <v>1768</v>
      </c>
      <c r="D389" s="1">
        <f>LEN(VolumebyClient[[#This Row],[CLID]])</f>
        <v>7</v>
      </c>
      <c r="F389" s="1" t="str">
        <f>INDEX(GeobyClient[GEOID],MATCH(VolumebyClient[[#This Row],[CLID]],GeobyClient[Right],0))</f>
        <v>GEO1001</v>
      </c>
      <c r="G389" s="1" t="str">
        <f>VLOOKUP(VolumebyClient[[#This Row],[Index Match Region ID]],GEONames[[GEOID]:[GEO NAME]],2,FALSE)</f>
        <v>NAM</v>
      </c>
      <c r="H389" s="1" t="str">
        <f>"Q"&amp;ROUNDUP(MONTH(VolumebyClient[[#This Row],[Date]])/3,0)&amp;" "&amp;YEAR(VolumebyClient[[#This Row],[Date]])</f>
        <v>Q2 2021</v>
      </c>
      <c r="I389" s="1" t="str">
        <f>VLOOKUP(VolumebyClient[[#This Row],[Date]],Quarters[],3,TRUE)</f>
        <v>Q2 2021</v>
      </c>
    </row>
    <row r="390" spans="1:9" x14ac:dyDescent="0.2">
      <c r="A390" s="2" t="s">
        <v>34</v>
      </c>
      <c r="B390" s="10">
        <v>44286</v>
      </c>
      <c r="C390" s="5">
        <v>1192</v>
      </c>
      <c r="D390" s="1">
        <f>LEN(VolumebyClient[[#This Row],[CLID]])</f>
        <v>7</v>
      </c>
      <c r="F390" s="1" t="str">
        <f>INDEX(GeobyClient[GEOID],MATCH(VolumebyClient[[#This Row],[CLID]],GeobyClient[Right],0))</f>
        <v>GEO1001</v>
      </c>
      <c r="G390" s="1" t="str">
        <f>VLOOKUP(VolumebyClient[[#This Row],[Index Match Region ID]],GEONames[[GEOID]:[GEO NAME]],2,FALSE)</f>
        <v>NAM</v>
      </c>
      <c r="H390" s="1" t="str">
        <f>"Q"&amp;ROUNDUP(MONTH(VolumebyClient[[#This Row],[Date]])/3,0)&amp;" "&amp;YEAR(VolumebyClient[[#This Row],[Date]])</f>
        <v>Q1 2021</v>
      </c>
      <c r="I390" s="1" t="str">
        <f>VLOOKUP(VolumebyClient[[#This Row],[Date]],Quarters[],3,TRUE)</f>
        <v>Q1 2021</v>
      </c>
    </row>
    <row r="391" spans="1:9" x14ac:dyDescent="0.2">
      <c r="A391" s="2" t="s">
        <v>34</v>
      </c>
      <c r="B391" s="10">
        <v>44255</v>
      </c>
      <c r="C391" s="5">
        <v>1332</v>
      </c>
      <c r="D391" s="1">
        <f>LEN(VolumebyClient[[#This Row],[CLID]])</f>
        <v>7</v>
      </c>
      <c r="F391" s="1" t="str">
        <f>INDEX(GeobyClient[GEOID],MATCH(VolumebyClient[[#This Row],[CLID]],GeobyClient[Right],0))</f>
        <v>GEO1001</v>
      </c>
      <c r="G391" s="1" t="str">
        <f>VLOOKUP(VolumebyClient[[#This Row],[Index Match Region ID]],GEONames[[GEOID]:[GEO NAME]],2,FALSE)</f>
        <v>NAM</v>
      </c>
      <c r="H391" s="1" t="str">
        <f>"Q"&amp;ROUNDUP(MONTH(VolumebyClient[[#This Row],[Date]])/3,0)&amp;" "&amp;YEAR(VolumebyClient[[#This Row],[Date]])</f>
        <v>Q1 2021</v>
      </c>
      <c r="I391" s="1" t="str">
        <f>VLOOKUP(VolumebyClient[[#This Row],[Date]],Quarters[],3,TRUE)</f>
        <v>Q1 2021</v>
      </c>
    </row>
    <row r="392" spans="1:9" x14ac:dyDescent="0.2">
      <c r="A392" s="2" t="s">
        <v>34</v>
      </c>
      <c r="B392" s="10">
        <v>44227</v>
      </c>
      <c r="C392" s="5">
        <v>941</v>
      </c>
      <c r="D392" s="1">
        <f>LEN(VolumebyClient[[#This Row],[CLID]])</f>
        <v>7</v>
      </c>
      <c r="F392" s="1" t="str">
        <f>INDEX(GeobyClient[GEOID],MATCH(VolumebyClient[[#This Row],[CLID]],GeobyClient[Right],0))</f>
        <v>GEO1001</v>
      </c>
      <c r="G392" s="1" t="str">
        <f>VLOOKUP(VolumebyClient[[#This Row],[Index Match Region ID]],GEONames[[GEOID]:[GEO NAME]],2,FALSE)</f>
        <v>NAM</v>
      </c>
      <c r="H392" s="1" t="str">
        <f>"Q"&amp;ROUNDUP(MONTH(VolumebyClient[[#This Row],[Date]])/3,0)&amp;" "&amp;YEAR(VolumebyClient[[#This Row],[Date]])</f>
        <v>Q1 2021</v>
      </c>
      <c r="I392" s="1" t="str">
        <f>VLOOKUP(VolumebyClient[[#This Row],[Date]],Quarters[],3,TRUE)</f>
        <v>Q1 2021</v>
      </c>
    </row>
    <row r="393" spans="1:9" x14ac:dyDescent="0.2">
      <c r="A393" s="2" t="s">
        <v>38</v>
      </c>
      <c r="B393" s="10">
        <v>43861</v>
      </c>
      <c r="C393" s="5">
        <v>1131</v>
      </c>
      <c r="D393" s="1">
        <f>LEN(VolumebyClient[[#This Row],[CLID]])</f>
        <v>7</v>
      </c>
      <c r="F393" s="1" t="str">
        <f>INDEX(GeobyClient[GEOID],MATCH(VolumebyClient[[#This Row],[CLID]],GeobyClient[Right],0))</f>
        <v>GEO1001</v>
      </c>
      <c r="G393" s="1" t="str">
        <f>VLOOKUP(VolumebyClient[[#This Row],[Index Match Region ID]],GEONames[[GEOID]:[GEO NAME]],2,FALSE)</f>
        <v>NAM</v>
      </c>
      <c r="H393" s="1" t="str">
        <f>"Q"&amp;ROUNDUP(MONTH(VolumebyClient[[#This Row],[Date]])/3,0)&amp;" "&amp;YEAR(VolumebyClient[[#This Row],[Date]])</f>
        <v>Q1 2020</v>
      </c>
      <c r="I393" s="1" t="str">
        <f>VLOOKUP(VolumebyClient[[#This Row],[Date]],Quarters[],3,TRUE)</f>
        <v>Q1 2020</v>
      </c>
    </row>
    <row r="394" spans="1:9" x14ac:dyDescent="0.2">
      <c r="A394" s="2" t="s">
        <v>38</v>
      </c>
      <c r="B394" s="10">
        <v>43890</v>
      </c>
      <c r="C394" s="5">
        <v>1268</v>
      </c>
      <c r="D394" s="1">
        <f>LEN(VolumebyClient[[#This Row],[CLID]])</f>
        <v>7</v>
      </c>
      <c r="F394" s="1" t="str">
        <f>INDEX(GeobyClient[GEOID],MATCH(VolumebyClient[[#This Row],[CLID]],GeobyClient[Right],0))</f>
        <v>GEO1001</v>
      </c>
      <c r="G394" s="1" t="str">
        <f>VLOOKUP(VolumebyClient[[#This Row],[Index Match Region ID]],GEONames[[GEOID]:[GEO NAME]],2,FALSE)</f>
        <v>NAM</v>
      </c>
      <c r="H394" s="1" t="str">
        <f>"Q"&amp;ROUNDUP(MONTH(VolumebyClient[[#This Row],[Date]])/3,0)&amp;" "&amp;YEAR(VolumebyClient[[#This Row],[Date]])</f>
        <v>Q1 2020</v>
      </c>
      <c r="I394" s="1" t="str">
        <f>VLOOKUP(VolumebyClient[[#This Row],[Date]],Quarters[],3,TRUE)</f>
        <v>Q1 2020</v>
      </c>
    </row>
    <row r="395" spans="1:9" x14ac:dyDescent="0.2">
      <c r="A395" s="2" t="s">
        <v>38</v>
      </c>
      <c r="B395" s="10">
        <v>43921</v>
      </c>
      <c r="C395" s="5">
        <v>1410</v>
      </c>
      <c r="D395" s="1">
        <f>LEN(VolumebyClient[[#This Row],[CLID]])</f>
        <v>7</v>
      </c>
      <c r="F395" s="1" t="str">
        <f>INDEX(GeobyClient[GEOID],MATCH(VolumebyClient[[#This Row],[CLID]],GeobyClient[Right],0))</f>
        <v>GEO1001</v>
      </c>
      <c r="G395" s="1" t="str">
        <f>VLOOKUP(VolumebyClient[[#This Row],[Index Match Region ID]],GEONames[[GEOID]:[GEO NAME]],2,FALSE)</f>
        <v>NAM</v>
      </c>
      <c r="H395" s="1" t="str">
        <f>"Q"&amp;ROUNDUP(MONTH(VolumebyClient[[#This Row],[Date]])/3,0)&amp;" "&amp;YEAR(VolumebyClient[[#This Row],[Date]])</f>
        <v>Q1 2020</v>
      </c>
      <c r="I395" s="1" t="str">
        <f>VLOOKUP(VolumebyClient[[#This Row],[Date]],Quarters[],3,TRUE)</f>
        <v>Q1 2020</v>
      </c>
    </row>
    <row r="396" spans="1:9" x14ac:dyDescent="0.2">
      <c r="A396" s="2" t="s">
        <v>38</v>
      </c>
      <c r="B396" s="10">
        <v>43951</v>
      </c>
      <c r="C396" s="5">
        <v>1688</v>
      </c>
      <c r="D396" s="1">
        <f>LEN(VolumebyClient[[#This Row],[CLID]])</f>
        <v>7</v>
      </c>
      <c r="F396" s="1" t="str">
        <f>INDEX(GeobyClient[GEOID],MATCH(VolumebyClient[[#This Row],[CLID]],GeobyClient[Right],0))</f>
        <v>GEO1001</v>
      </c>
      <c r="G396" s="1" t="str">
        <f>VLOOKUP(VolumebyClient[[#This Row],[Index Match Region ID]],GEONames[[GEOID]:[GEO NAME]],2,FALSE)</f>
        <v>NAM</v>
      </c>
      <c r="H396" s="1" t="str">
        <f>"Q"&amp;ROUNDUP(MONTH(VolumebyClient[[#This Row],[Date]])/3,0)&amp;" "&amp;YEAR(VolumebyClient[[#This Row],[Date]])</f>
        <v>Q2 2020</v>
      </c>
      <c r="I396" s="1" t="str">
        <f>VLOOKUP(VolumebyClient[[#This Row],[Date]],Quarters[],3,TRUE)</f>
        <v>Q2 2020</v>
      </c>
    </row>
    <row r="397" spans="1:9" x14ac:dyDescent="0.2">
      <c r="A397" s="2" t="s">
        <v>38</v>
      </c>
      <c r="B397" s="10">
        <v>43982</v>
      </c>
      <c r="C397" s="5">
        <v>1548</v>
      </c>
      <c r="D397" s="1">
        <f>LEN(VolumebyClient[[#This Row],[CLID]])</f>
        <v>7</v>
      </c>
      <c r="F397" s="1" t="str">
        <f>INDEX(GeobyClient[GEOID],MATCH(VolumebyClient[[#This Row],[CLID]],GeobyClient[Right],0))</f>
        <v>GEO1001</v>
      </c>
      <c r="G397" s="1" t="str">
        <f>VLOOKUP(VolumebyClient[[#This Row],[Index Match Region ID]],GEONames[[GEOID]:[GEO NAME]],2,FALSE)</f>
        <v>NAM</v>
      </c>
      <c r="H397" s="1" t="str">
        <f>"Q"&amp;ROUNDUP(MONTH(VolumebyClient[[#This Row],[Date]])/3,0)&amp;" "&amp;YEAR(VolumebyClient[[#This Row],[Date]])</f>
        <v>Q2 2020</v>
      </c>
      <c r="I397" s="1" t="str">
        <f>VLOOKUP(VolumebyClient[[#This Row],[Date]],Quarters[],3,TRUE)</f>
        <v>Q2 2020</v>
      </c>
    </row>
    <row r="398" spans="1:9" x14ac:dyDescent="0.2">
      <c r="A398" s="2" t="s">
        <v>38</v>
      </c>
      <c r="B398" s="10">
        <v>44012</v>
      </c>
      <c r="C398" s="5">
        <v>1127</v>
      </c>
      <c r="D398" s="1">
        <f>LEN(VolumebyClient[[#This Row],[CLID]])</f>
        <v>7</v>
      </c>
      <c r="F398" s="1" t="str">
        <f>INDEX(GeobyClient[GEOID],MATCH(VolumebyClient[[#This Row],[CLID]],GeobyClient[Right],0))</f>
        <v>GEO1001</v>
      </c>
      <c r="G398" s="1" t="str">
        <f>VLOOKUP(VolumebyClient[[#This Row],[Index Match Region ID]],GEONames[[GEOID]:[GEO NAME]],2,FALSE)</f>
        <v>NAM</v>
      </c>
      <c r="H398" s="1" t="str">
        <f>"Q"&amp;ROUNDUP(MONTH(VolumebyClient[[#This Row],[Date]])/3,0)&amp;" "&amp;YEAR(VolumebyClient[[#This Row],[Date]])</f>
        <v>Q2 2020</v>
      </c>
      <c r="I398" s="1" t="str">
        <f>VLOOKUP(VolumebyClient[[#This Row],[Date]],Quarters[],3,TRUE)</f>
        <v>Q2 2020</v>
      </c>
    </row>
    <row r="399" spans="1:9" x14ac:dyDescent="0.2">
      <c r="A399" s="2" t="s">
        <v>38</v>
      </c>
      <c r="B399" s="10">
        <v>44043</v>
      </c>
      <c r="C399" s="5">
        <v>984</v>
      </c>
      <c r="D399" s="1">
        <f>LEN(VolumebyClient[[#This Row],[CLID]])</f>
        <v>7</v>
      </c>
      <c r="F399" s="1" t="str">
        <f>INDEX(GeobyClient[GEOID],MATCH(VolumebyClient[[#This Row],[CLID]],GeobyClient[Right],0))</f>
        <v>GEO1001</v>
      </c>
      <c r="G399" s="1" t="str">
        <f>VLOOKUP(VolumebyClient[[#This Row],[Index Match Region ID]],GEONames[[GEOID]:[GEO NAME]],2,FALSE)</f>
        <v>NAM</v>
      </c>
      <c r="H399" s="1" t="str">
        <f>"Q"&amp;ROUNDUP(MONTH(VolumebyClient[[#This Row],[Date]])/3,0)&amp;" "&amp;YEAR(VolumebyClient[[#This Row],[Date]])</f>
        <v>Q3 2020</v>
      </c>
      <c r="I399" s="1" t="str">
        <f>VLOOKUP(VolumebyClient[[#This Row],[Date]],Quarters[],3,TRUE)</f>
        <v>Q3 2020</v>
      </c>
    </row>
    <row r="400" spans="1:9" x14ac:dyDescent="0.2">
      <c r="A400" s="2" t="s">
        <v>38</v>
      </c>
      <c r="B400" s="10">
        <v>44074</v>
      </c>
      <c r="C400" s="5">
        <v>850</v>
      </c>
      <c r="D400" s="1">
        <f>LEN(VolumebyClient[[#This Row],[CLID]])</f>
        <v>7</v>
      </c>
      <c r="F400" s="1" t="str">
        <f>INDEX(GeobyClient[GEOID],MATCH(VolumebyClient[[#This Row],[CLID]],GeobyClient[Right],0))</f>
        <v>GEO1001</v>
      </c>
      <c r="G400" s="1" t="str">
        <f>VLOOKUP(VolumebyClient[[#This Row],[Index Match Region ID]],GEONames[[GEOID]:[GEO NAME]],2,FALSE)</f>
        <v>NAM</v>
      </c>
      <c r="H400" s="1" t="str">
        <f>"Q"&amp;ROUNDUP(MONTH(VolumebyClient[[#This Row],[Date]])/3,0)&amp;" "&amp;YEAR(VolumebyClient[[#This Row],[Date]])</f>
        <v>Q3 2020</v>
      </c>
      <c r="I400" s="1" t="str">
        <f>VLOOKUP(VolumebyClient[[#This Row],[Date]],Quarters[],3,TRUE)</f>
        <v>Q3 2020</v>
      </c>
    </row>
    <row r="401" spans="1:9" x14ac:dyDescent="0.2">
      <c r="A401" s="2" t="s">
        <v>38</v>
      </c>
      <c r="B401" s="10">
        <v>44104</v>
      </c>
      <c r="C401" s="5">
        <v>850</v>
      </c>
      <c r="D401" s="1">
        <f>LEN(VolumebyClient[[#This Row],[CLID]])</f>
        <v>7</v>
      </c>
      <c r="F401" s="1" t="str">
        <f>INDEX(GeobyClient[GEOID],MATCH(VolumebyClient[[#This Row],[CLID]],GeobyClient[Right],0))</f>
        <v>GEO1001</v>
      </c>
      <c r="G401" s="1" t="str">
        <f>VLOOKUP(VolumebyClient[[#This Row],[Index Match Region ID]],GEONames[[GEOID]:[GEO NAME]],2,FALSE)</f>
        <v>NAM</v>
      </c>
      <c r="H401" s="1" t="str">
        <f>"Q"&amp;ROUNDUP(MONTH(VolumebyClient[[#This Row],[Date]])/3,0)&amp;" "&amp;YEAR(VolumebyClient[[#This Row],[Date]])</f>
        <v>Q3 2020</v>
      </c>
      <c r="I401" s="1" t="str">
        <f>VLOOKUP(VolumebyClient[[#This Row],[Date]],Quarters[],3,TRUE)</f>
        <v>Q3 2020</v>
      </c>
    </row>
    <row r="402" spans="1:9" x14ac:dyDescent="0.2">
      <c r="A402" s="2" t="s">
        <v>38</v>
      </c>
      <c r="B402" s="10">
        <v>44135</v>
      </c>
      <c r="C402" s="5">
        <v>986</v>
      </c>
      <c r="D402" s="1">
        <f>LEN(VolumebyClient[[#This Row],[CLID]])</f>
        <v>7</v>
      </c>
      <c r="F402" s="1" t="str">
        <f>INDEX(GeobyClient[GEOID],MATCH(VolumebyClient[[#This Row],[CLID]],GeobyClient[Right],0))</f>
        <v>GEO1001</v>
      </c>
      <c r="G402" s="1" t="str">
        <f>VLOOKUP(VolumebyClient[[#This Row],[Index Match Region ID]],GEONames[[GEOID]:[GEO NAME]],2,FALSE)</f>
        <v>NAM</v>
      </c>
      <c r="H402" s="1" t="str">
        <f>"Q"&amp;ROUNDUP(MONTH(VolumebyClient[[#This Row],[Date]])/3,0)&amp;" "&amp;YEAR(VolumebyClient[[#This Row],[Date]])</f>
        <v>Q4 2020</v>
      </c>
      <c r="I402" s="1" t="str">
        <f>VLOOKUP(VolumebyClient[[#This Row],[Date]],Quarters[],3,TRUE)</f>
        <v>Q4 2020</v>
      </c>
    </row>
    <row r="403" spans="1:9" x14ac:dyDescent="0.2">
      <c r="A403" s="2" t="s">
        <v>38</v>
      </c>
      <c r="B403" s="10">
        <v>44165</v>
      </c>
      <c r="C403" s="5">
        <v>1129</v>
      </c>
      <c r="D403" s="1">
        <f>LEN(VolumebyClient[[#This Row],[CLID]])</f>
        <v>7</v>
      </c>
      <c r="F403" s="1" t="str">
        <f>INDEX(GeobyClient[GEOID],MATCH(VolumebyClient[[#This Row],[CLID]],GeobyClient[Right],0))</f>
        <v>GEO1001</v>
      </c>
      <c r="G403" s="1" t="str">
        <f>VLOOKUP(VolumebyClient[[#This Row],[Index Match Region ID]],GEONames[[GEOID]:[GEO NAME]],2,FALSE)</f>
        <v>NAM</v>
      </c>
      <c r="H403" s="1" t="str">
        <f>"Q"&amp;ROUNDUP(MONTH(VolumebyClient[[#This Row],[Date]])/3,0)&amp;" "&amp;YEAR(VolumebyClient[[#This Row],[Date]])</f>
        <v>Q4 2020</v>
      </c>
      <c r="I403" s="1" t="str">
        <f>VLOOKUP(VolumebyClient[[#This Row],[Date]],Quarters[],3,TRUE)</f>
        <v>Q4 2020</v>
      </c>
    </row>
    <row r="404" spans="1:9" x14ac:dyDescent="0.2">
      <c r="A404" s="2" t="s">
        <v>38</v>
      </c>
      <c r="B404" s="10">
        <v>44196</v>
      </c>
      <c r="C404" s="5">
        <v>1131</v>
      </c>
      <c r="D404" s="1">
        <f>LEN(VolumebyClient[[#This Row],[CLID]])</f>
        <v>7</v>
      </c>
      <c r="F404" s="1" t="str">
        <f>INDEX(GeobyClient[GEOID],MATCH(VolumebyClient[[#This Row],[CLID]],GeobyClient[Right],0))</f>
        <v>GEO1001</v>
      </c>
      <c r="G404" s="1" t="str">
        <f>VLOOKUP(VolumebyClient[[#This Row],[Index Match Region ID]],GEONames[[GEOID]:[GEO NAME]],2,FALSE)</f>
        <v>NAM</v>
      </c>
      <c r="H404" s="1" t="str">
        <f>"Q"&amp;ROUNDUP(MONTH(VolumebyClient[[#This Row],[Date]])/3,0)&amp;" "&amp;YEAR(VolumebyClient[[#This Row],[Date]])</f>
        <v>Q4 2020</v>
      </c>
      <c r="I404" s="1" t="str">
        <f>VLOOKUP(VolumebyClient[[#This Row],[Date]],Quarters[],3,TRUE)</f>
        <v>Q4 2020</v>
      </c>
    </row>
    <row r="405" spans="1:9" x14ac:dyDescent="0.2">
      <c r="A405" s="2" t="s">
        <v>38</v>
      </c>
      <c r="B405" s="10">
        <v>44377</v>
      </c>
      <c r="C405" s="5">
        <v>1119</v>
      </c>
      <c r="D405" s="1">
        <f>LEN(VolumebyClient[[#This Row],[CLID]])</f>
        <v>7</v>
      </c>
      <c r="F405" s="1" t="str">
        <f>INDEX(GeobyClient[GEOID],MATCH(VolumebyClient[[#This Row],[CLID]],GeobyClient[Right],0))</f>
        <v>GEO1001</v>
      </c>
      <c r="G405" s="1" t="str">
        <f>VLOOKUP(VolumebyClient[[#This Row],[Index Match Region ID]],GEONames[[GEOID]:[GEO NAME]],2,FALSE)</f>
        <v>NAM</v>
      </c>
      <c r="H405" s="1" t="str">
        <f>"Q"&amp;ROUNDUP(MONTH(VolumebyClient[[#This Row],[Date]])/3,0)&amp;" "&amp;YEAR(VolumebyClient[[#This Row],[Date]])</f>
        <v>Q2 2021</v>
      </c>
      <c r="I405" s="1" t="str">
        <f>VLOOKUP(VolumebyClient[[#This Row],[Date]],Quarters[],3,TRUE)</f>
        <v>Q2 2021</v>
      </c>
    </row>
    <row r="406" spans="1:9" x14ac:dyDescent="0.2">
      <c r="A406" s="2" t="s">
        <v>38</v>
      </c>
      <c r="B406" s="10">
        <v>44347</v>
      </c>
      <c r="C406" s="5">
        <v>1598</v>
      </c>
      <c r="D406" s="1">
        <f>LEN(VolumebyClient[[#This Row],[CLID]])</f>
        <v>7</v>
      </c>
      <c r="F406" s="1" t="str">
        <f>INDEX(GeobyClient[GEOID],MATCH(VolumebyClient[[#This Row],[CLID]],GeobyClient[Right],0))</f>
        <v>GEO1001</v>
      </c>
      <c r="G406" s="1" t="str">
        <f>VLOOKUP(VolumebyClient[[#This Row],[Index Match Region ID]],GEONames[[GEOID]:[GEO NAME]],2,FALSE)</f>
        <v>NAM</v>
      </c>
      <c r="H406" s="1" t="str">
        <f>"Q"&amp;ROUNDUP(MONTH(VolumebyClient[[#This Row],[Date]])/3,0)&amp;" "&amp;YEAR(VolumebyClient[[#This Row],[Date]])</f>
        <v>Q2 2021</v>
      </c>
      <c r="I406" s="1" t="str">
        <f>VLOOKUP(VolumebyClient[[#This Row],[Date]],Quarters[],3,TRUE)</f>
        <v>Q2 2021</v>
      </c>
    </row>
    <row r="407" spans="1:9" x14ac:dyDescent="0.2">
      <c r="A407" s="2" t="s">
        <v>38</v>
      </c>
      <c r="B407" s="10">
        <v>44316</v>
      </c>
      <c r="C407" s="5">
        <v>1707</v>
      </c>
      <c r="D407" s="1">
        <f>LEN(VolumebyClient[[#This Row],[CLID]])</f>
        <v>7</v>
      </c>
      <c r="F407" s="1" t="str">
        <f>INDEX(GeobyClient[GEOID],MATCH(VolumebyClient[[#This Row],[CLID]],GeobyClient[Right],0))</f>
        <v>GEO1001</v>
      </c>
      <c r="G407" s="1" t="str">
        <f>VLOOKUP(VolumebyClient[[#This Row],[Index Match Region ID]],GEONames[[GEOID]:[GEO NAME]],2,FALSE)</f>
        <v>NAM</v>
      </c>
      <c r="H407" s="1" t="str">
        <f>"Q"&amp;ROUNDUP(MONTH(VolumebyClient[[#This Row],[Date]])/3,0)&amp;" "&amp;YEAR(VolumebyClient[[#This Row],[Date]])</f>
        <v>Q2 2021</v>
      </c>
      <c r="I407" s="1" t="str">
        <f>VLOOKUP(VolumebyClient[[#This Row],[Date]],Quarters[],3,TRUE)</f>
        <v>Q2 2021</v>
      </c>
    </row>
    <row r="408" spans="1:9" x14ac:dyDescent="0.2">
      <c r="A408" s="2" t="s">
        <v>38</v>
      </c>
      <c r="B408" s="10">
        <v>44286</v>
      </c>
      <c r="C408" s="5">
        <v>1404</v>
      </c>
      <c r="D408" s="1">
        <f>LEN(VolumebyClient[[#This Row],[CLID]])</f>
        <v>7</v>
      </c>
      <c r="F408" s="1" t="str">
        <f>INDEX(GeobyClient[GEOID],MATCH(VolumebyClient[[#This Row],[CLID]],GeobyClient[Right],0))</f>
        <v>GEO1001</v>
      </c>
      <c r="G408" s="1" t="str">
        <f>VLOOKUP(VolumebyClient[[#This Row],[Index Match Region ID]],GEONames[[GEOID]:[GEO NAME]],2,FALSE)</f>
        <v>NAM</v>
      </c>
      <c r="H408" s="1" t="str">
        <f>"Q"&amp;ROUNDUP(MONTH(VolumebyClient[[#This Row],[Date]])/3,0)&amp;" "&amp;YEAR(VolumebyClient[[#This Row],[Date]])</f>
        <v>Q1 2021</v>
      </c>
      <c r="I408" s="1" t="str">
        <f>VLOOKUP(VolumebyClient[[#This Row],[Date]],Quarters[],3,TRUE)</f>
        <v>Q1 2021</v>
      </c>
    </row>
    <row r="409" spans="1:9" x14ac:dyDescent="0.2">
      <c r="A409" s="2" t="s">
        <v>38</v>
      </c>
      <c r="B409" s="10">
        <v>44255</v>
      </c>
      <c r="C409" s="5">
        <v>1252</v>
      </c>
      <c r="D409" s="1">
        <f>LEN(VolumebyClient[[#This Row],[CLID]])</f>
        <v>7</v>
      </c>
      <c r="F409" s="1" t="str">
        <f>INDEX(GeobyClient[GEOID],MATCH(VolumebyClient[[#This Row],[CLID]],GeobyClient[Right],0))</f>
        <v>GEO1001</v>
      </c>
      <c r="G409" s="1" t="str">
        <f>VLOOKUP(VolumebyClient[[#This Row],[Index Match Region ID]],GEONames[[GEOID]:[GEO NAME]],2,FALSE)</f>
        <v>NAM</v>
      </c>
      <c r="H409" s="1" t="str">
        <f>"Q"&amp;ROUNDUP(MONTH(VolumebyClient[[#This Row],[Date]])/3,0)&amp;" "&amp;YEAR(VolumebyClient[[#This Row],[Date]])</f>
        <v>Q1 2021</v>
      </c>
      <c r="I409" s="1" t="str">
        <f>VLOOKUP(VolumebyClient[[#This Row],[Date]],Quarters[],3,TRUE)</f>
        <v>Q1 2021</v>
      </c>
    </row>
    <row r="410" spans="1:9" x14ac:dyDescent="0.2">
      <c r="A410" s="2" t="s">
        <v>38</v>
      </c>
      <c r="B410" s="10">
        <v>44227</v>
      </c>
      <c r="C410" s="5">
        <v>1119</v>
      </c>
      <c r="D410" s="1">
        <f>LEN(VolumebyClient[[#This Row],[CLID]])</f>
        <v>7</v>
      </c>
      <c r="F410" s="1" t="str">
        <f>INDEX(GeobyClient[GEOID],MATCH(VolumebyClient[[#This Row],[CLID]],GeobyClient[Right],0))</f>
        <v>GEO1001</v>
      </c>
      <c r="G410" s="1" t="str">
        <f>VLOOKUP(VolumebyClient[[#This Row],[Index Match Region ID]],GEONames[[GEOID]:[GEO NAME]],2,FALSE)</f>
        <v>NAM</v>
      </c>
      <c r="H410" s="1" t="str">
        <f>"Q"&amp;ROUNDUP(MONTH(VolumebyClient[[#This Row],[Date]])/3,0)&amp;" "&amp;YEAR(VolumebyClient[[#This Row],[Date]])</f>
        <v>Q1 2021</v>
      </c>
      <c r="I410" s="1" t="str">
        <f>VLOOKUP(VolumebyClient[[#This Row],[Date]],Quarters[],3,TRUE)</f>
        <v>Q1 2021</v>
      </c>
    </row>
    <row r="411" spans="1:9" x14ac:dyDescent="0.2">
      <c r="A411" s="2" t="s">
        <v>13</v>
      </c>
      <c r="B411" s="10">
        <v>43861</v>
      </c>
      <c r="C411" s="5">
        <v>318</v>
      </c>
      <c r="D411" s="1">
        <f>LEN(VolumebyClient[[#This Row],[CLID]])</f>
        <v>7</v>
      </c>
      <c r="F411" s="1" t="str">
        <f>INDEX(GeobyClient[GEOID],MATCH(VolumebyClient[[#This Row],[CLID]],GeobyClient[Right],0))</f>
        <v>GEO1002</v>
      </c>
      <c r="G411" s="1" t="str">
        <f>VLOOKUP(VolumebyClient[[#This Row],[Index Match Region ID]],GEONames[[GEOID]:[GEO NAME]],2,FALSE)</f>
        <v>APAC</v>
      </c>
      <c r="H411" s="1" t="str">
        <f>"Q"&amp;ROUNDUP(MONTH(VolumebyClient[[#This Row],[Date]])/3,0)&amp;" "&amp;YEAR(VolumebyClient[[#This Row],[Date]])</f>
        <v>Q1 2020</v>
      </c>
      <c r="I411" s="1" t="str">
        <f>VLOOKUP(VolumebyClient[[#This Row],[Date]],Quarters[],3,TRUE)</f>
        <v>Q1 2020</v>
      </c>
    </row>
    <row r="412" spans="1:9" x14ac:dyDescent="0.2">
      <c r="A412" s="2" t="s">
        <v>13</v>
      </c>
      <c r="B412" s="10">
        <v>43890</v>
      </c>
      <c r="C412" s="5">
        <v>453</v>
      </c>
      <c r="D412" s="1">
        <f>LEN(VolumebyClient[[#This Row],[CLID]])</f>
        <v>7</v>
      </c>
      <c r="F412" s="1" t="str">
        <f>INDEX(GeobyClient[GEOID],MATCH(VolumebyClient[[#This Row],[CLID]],GeobyClient[Right],0))</f>
        <v>GEO1002</v>
      </c>
      <c r="G412" s="1" t="str">
        <f>VLOOKUP(VolumebyClient[[#This Row],[Index Match Region ID]],GEONames[[GEOID]:[GEO NAME]],2,FALSE)</f>
        <v>APAC</v>
      </c>
      <c r="H412" s="1" t="str">
        <f>"Q"&amp;ROUNDUP(MONTH(VolumebyClient[[#This Row],[Date]])/3,0)&amp;" "&amp;YEAR(VolumebyClient[[#This Row],[Date]])</f>
        <v>Q1 2020</v>
      </c>
      <c r="I412" s="1" t="str">
        <f>VLOOKUP(VolumebyClient[[#This Row],[Date]],Quarters[],3,TRUE)</f>
        <v>Q1 2020</v>
      </c>
    </row>
    <row r="413" spans="1:9" x14ac:dyDescent="0.2">
      <c r="A413" s="2" t="s">
        <v>13</v>
      </c>
      <c r="B413" s="10">
        <v>43921</v>
      </c>
      <c r="C413" s="5">
        <v>411</v>
      </c>
      <c r="D413" s="1">
        <f>LEN(VolumebyClient[[#This Row],[CLID]])</f>
        <v>7</v>
      </c>
      <c r="F413" s="1" t="str">
        <f>INDEX(GeobyClient[GEOID],MATCH(VolumebyClient[[#This Row],[CLID]],GeobyClient[Right],0))</f>
        <v>GEO1002</v>
      </c>
      <c r="G413" s="1" t="str">
        <f>VLOOKUP(VolumebyClient[[#This Row],[Index Match Region ID]],GEONames[[GEOID]:[GEO NAME]],2,FALSE)</f>
        <v>APAC</v>
      </c>
      <c r="H413" s="1" t="str">
        <f>"Q"&amp;ROUNDUP(MONTH(VolumebyClient[[#This Row],[Date]])/3,0)&amp;" "&amp;YEAR(VolumebyClient[[#This Row],[Date]])</f>
        <v>Q1 2020</v>
      </c>
      <c r="I413" s="1" t="str">
        <f>VLOOKUP(VolumebyClient[[#This Row],[Date]],Quarters[],3,TRUE)</f>
        <v>Q1 2020</v>
      </c>
    </row>
    <row r="414" spans="1:9" x14ac:dyDescent="0.2">
      <c r="A414" s="2" t="s">
        <v>13</v>
      </c>
      <c r="B414" s="10">
        <v>43951</v>
      </c>
      <c r="C414" s="5">
        <v>588</v>
      </c>
      <c r="D414" s="1">
        <f>LEN(VolumebyClient[[#This Row],[CLID]])</f>
        <v>7</v>
      </c>
      <c r="F414" s="1" t="str">
        <f>INDEX(GeobyClient[GEOID],MATCH(VolumebyClient[[#This Row],[CLID]],GeobyClient[Right],0))</f>
        <v>GEO1002</v>
      </c>
      <c r="G414" s="1" t="str">
        <f>VLOOKUP(VolumebyClient[[#This Row],[Index Match Region ID]],GEONames[[GEOID]:[GEO NAME]],2,FALSE)</f>
        <v>APAC</v>
      </c>
      <c r="H414" s="1" t="str">
        <f>"Q"&amp;ROUNDUP(MONTH(VolumebyClient[[#This Row],[Date]])/3,0)&amp;" "&amp;YEAR(VolumebyClient[[#This Row],[Date]])</f>
        <v>Q2 2020</v>
      </c>
      <c r="I414" s="1" t="str">
        <f>VLOOKUP(VolumebyClient[[#This Row],[Date]],Quarters[],3,TRUE)</f>
        <v>Q2 2020</v>
      </c>
    </row>
    <row r="415" spans="1:9" x14ac:dyDescent="0.2">
      <c r="A415" s="2" t="s">
        <v>13</v>
      </c>
      <c r="B415" s="10">
        <v>43982</v>
      </c>
      <c r="C415" s="5">
        <v>457</v>
      </c>
      <c r="D415" s="1">
        <f>LEN(VolumebyClient[[#This Row],[CLID]])</f>
        <v>7</v>
      </c>
      <c r="F415" s="1" t="str">
        <f>INDEX(GeobyClient[GEOID],MATCH(VolumebyClient[[#This Row],[CLID]],GeobyClient[Right],0))</f>
        <v>GEO1002</v>
      </c>
      <c r="G415" s="1" t="str">
        <f>VLOOKUP(VolumebyClient[[#This Row],[Index Match Region ID]],GEONames[[GEOID]:[GEO NAME]],2,FALSE)</f>
        <v>APAC</v>
      </c>
      <c r="H415" s="1" t="str">
        <f>"Q"&amp;ROUNDUP(MONTH(VolumebyClient[[#This Row],[Date]])/3,0)&amp;" "&amp;YEAR(VolumebyClient[[#This Row],[Date]])</f>
        <v>Q2 2020</v>
      </c>
      <c r="I415" s="1" t="str">
        <f>VLOOKUP(VolumebyClient[[#This Row],[Date]],Quarters[],3,TRUE)</f>
        <v>Q2 2020</v>
      </c>
    </row>
    <row r="416" spans="1:9" x14ac:dyDescent="0.2">
      <c r="A416" s="2" t="s">
        <v>13</v>
      </c>
      <c r="B416" s="10">
        <v>44012</v>
      </c>
      <c r="C416" s="5">
        <v>410</v>
      </c>
      <c r="D416" s="1">
        <f>LEN(VolumebyClient[[#This Row],[CLID]])</f>
        <v>7</v>
      </c>
      <c r="F416" s="1" t="str">
        <f>INDEX(GeobyClient[GEOID],MATCH(VolumebyClient[[#This Row],[CLID]],GeobyClient[Right],0))</f>
        <v>GEO1002</v>
      </c>
      <c r="G416" s="1" t="str">
        <f>VLOOKUP(VolumebyClient[[#This Row],[Index Match Region ID]],GEONames[[GEOID]:[GEO NAME]],2,FALSE)</f>
        <v>APAC</v>
      </c>
      <c r="H416" s="1" t="str">
        <f>"Q"&amp;ROUNDUP(MONTH(VolumebyClient[[#This Row],[Date]])/3,0)&amp;" "&amp;YEAR(VolumebyClient[[#This Row],[Date]])</f>
        <v>Q2 2020</v>
      </c>
      <c r="I416" s="1" t="str">
        <f>VLOOKUP(VolumebyClient[[#This Row],[Date]],Quarters[],3,TRUE)</f>
        <v>Q2 2020</v>
      </c>
    </row>
    <row r="417" spans="1:9" x14ac:dyDescent="0.2">
      <c r="A417" s="2" t="s">
        <v>13</v>
      </c>
      <c r="B417" s="10">
        <v>44043</v>
      </c>
      <c r="C417" s="5">
        <v>273</v>
      </c>
      <c r="D417" s="1">
        <f>LEN(VolumebyClient[[#This Row],[CLID]])</f>
        <v>7</v>
      </c>
      <c r="F417" s="1" t="str">
        <f>INDEX(GeobyClient[GEOID],MATCH(VolumebyClient[[#This Row],[CLID]],GeobyClient[Right],0))</f>
        <v>GEO1002</v>
      </c>
      <c r="G417" s="1" t="str">
        <f>VLOOKUP(VolumebyClient[[#This Row],[Index Match Region ID]],GEONames[[GEOID]:[GEO NAME]],2,FALSE)</f>
        <v>APAC</v>
      </c>
      <c r="H417" s="1" t="str">
        <f>"Q"&amp;ROUNDUP(MONTH(VolumebyClient[[#This Row],[Date]])/3,0)&amp;" "&amp;YEAR(VolumebyClient[[#This Row],[Date]])</f>
        <v>Q3 2020</v>
      </c>
      <c r="I417" s="1" t="str">
        <f>VLOOKUP(VolumebyClient[[#This Row],[Date]],Quarters[],3,TRUE)</f>
        <v>Q3 2020</v>
      </c>
    </row>
    <row r="418" spans="1:9" x14ac:dyDescent="0.2">
      <c r="A418" s="2" t="s">
        <v>13</v>
      </c>
      <c r="B418" s="10">
        <v>44074</v>
      </c>
      <c r="C418" s="5">
        <v>317</v>
      </c>
      <c r="D418" s="1">
        <f>LEN(VolumebyClient[[#This Row],[CLID]])</f>
        <v>7</v>
      </c>
      <c r="F418" s="1" t="str">
        <f>INDEX(GeobyClient[GEOID],MATCH(VolumebyClient[[#This Row],[CLID]],GeobyClient[Right],0))</f>
        <v>GEO1002</v>
      </c>
      <c r="G418" s="1" t="str">
        <f>VLOOKUP(VolumebyClient[[#This Row],[Index Match Region ID]],GEONames[[GEOID]:[GEO NAME]],2,FALSE)</f>
        <v>APAC</v>
      </c>
      <c r="H418" s="1" t="str">
        <f>"Q"&amp;ROUNDUP(MONTH(VolumebyClient[[#This Row],[Date]])/3,0)&amp;" "&amp;YEAR(VolumebyClient[[#This Row],[Date]])</f>
        <v>Q3 2020</v>
      </c>
      <c r="I418" s="1" t="str">
        <f>VLOOKUP(VolumebyClient[[#This Row],[Date]],Quarters[],3,TRUE)</f>
        <v>Q3 2020</v>
      </c>
    </row>
    <row r="419" spans="1:9" x14ac:dyDescent="0.2">
      <c r="A419" s="2" t="s">
        <v>13</v>
      </c>
      <c r="B419" s="10">
        <v>44104</v>
      </c>
      <c r="C419" s="5">
        <v>233</v>
      </c>
      <c r="D419" s="1">
        <f>LEN(VolumebyClient[[#This Row],[CLID]])</f>
        <v>7</v>
      </c>
      <c r="F419" s="1" t="str">
        <f>INDEX(GeobyClient[GEOID],MATCH(VolumebyClient[[#This Row],[CLID]],GeobyClient[Right],0))</f>
        <v>GEO1002</v>
      </c>
      <c r="G419" s="1" t="str">
        <f>VLOOKUP(VolumebyClient[[#This Row],[Index Match Region ID]],GEONames[[GEOID]:[GEO NAME]],2,FALSE)</f>
        <v>APAC</v>
      </c>
      <c r="H419" s="1" t="str">
        <f>"Q"&amp;ROUNDUP(MONTH(VolumebyClient[[#This Row],[Date]])/3,0)&amp;" "&amp;YEAR(VolumebyClient[[#This Row],[Date]])</f>
        <v>Q3 2020</v>
      </c>
      <c r="I419" s="1" t="str">
        <f>VLOOKUP(VolumebyClient[[#This Row],[Date]],Quarters[],3,TRUE)</f>
        <v>Q3 2020</v>
      </c>
    </row>
    <row r="420" spans="1:9" x14ac:dyDescent="0.2">
      <c r="A420" s="2" t="s">
        <v>13</v>
      </c>
      <c r="B420" s="10">
        <v>44135</v>
      </c>
      <c r="C420" s="5">
        <v>367</v>
      </c>
      <c r="D420" s="1">
        <f>LEN(VolumebyClient[[#This Row],[CLID]])</f>
        <v>7</v>
      </c>
      <c r="F420" s="1" t="str">
        <f>INDEX(GeobyClient[GEOID],MATCH(VolumebyClient[[#This Row],[CLID]],GeobyClient[Right],0))</f>
        <v>GEO1002</v>
      </c>
      <c r="G420" s="1" t="str">
        <f>VLOOKUP(VolumebyClient[[#This Row],[Index Match Region ID]],GEONames[[GEOID]:[GEO NAME]],2,FALSE)</f>
        <v>APAC</v>
      </c>
      <c r="H420" s="1" t="str">
        <f>"Q"&amp;ROUNDUP(MONTH(VolumebyClient[[#This Row],[Date]])/3,0)&amp;" "&amp;YEAR(VolumebyClient[[#This Row],[Date]])</f>
        <v>Q4 2020</v>
      </c>
      <c r="I420" s="1" t="str">
        <f>VLOOKUP(VolumebyClient[[#This Row],[Date]],Quarters[],3,TRUE)</f>
        <v>Q4 2020</v>
      </c>
    </row>
    <row r="421" spans="1:9" x14ac:dyDescent="0.2">
      <c r="A421" s="2" t="s">
        <v>13</v>
      </c>
      <c r="B421" s="10">
        <v>44165</v>
      </c>
      <c r="C421" s="5">
        <v>322</v>
      </c>
      <c r="D421" s="1">
        <f>LEN(VolumebyClient[[#This Row],[CLID]])</f>
        <v>7</v>
      </c>
      <c r="F421" s="1" t="str">
        <f>INDEX(GeobyClient[GEOID],MATCH(VolumebyClient[[#This Row],[CLID]],GeobyClient[Right],0))</f>
        <v>GEO1002</v>
      </c>
      <c r="G421" s="1" t="str">
        <f>VLOOKUP(VolumebyClient[[#This Row],[Index Match Region ID]],GEONames[[GEOID]:[GEO NAME]],2,FALSE)</f>
        <v>APAC</v>
      </c>
      <c r="H421" s="1" t="str">
        <f>"Q"&amp;ROUNDUP(MONTH(VolumebyClient[[#This Row],[Date]])/3,0)&amp;" "&amp;YEAR(VolumebyClient[[#This Row],[Date]])</f>
        <v>Q4 2020</v>
      </c>
      <c r="I421" s="1" t="str">
        <f>VLOOKUP(VolumebyClient[[#This Row],[Date]],Quarters[],3,TRUE)</f>
        <v>Q4 2020</v>
      </c>
    </row>
    <row r="422" spans="1:9" x14ac:dyDescent="0.2">
      <c r="A422" s="2" t="s">
        <v>13</v>
      </c>
      <c r="B422" s="10">
        <v>44196</v>
      </c>
      <c r="C422" s="5">
        <v>407</v>
      </c>
      <c r="D422" s="1">
        <f>LEN(VolumebyClient[[#This Row],[CLID]])</f>
        <v>7</v>
      </c>
      <c r="F422" s="1" t="str">
        <f>INDEX(GeobyClient[GEOID],MATCH(VolumebyClient[[#This Row],[CLID]],GeobyClient[Right],0))</f>
        <v>GEO1002</v>
      </c>
      <c r="G422" s="1" t="str">
        <f>VLOOKUP(VolumebyClient[[#This Row],[Index Match Region ID]],GEONames[[GEOID]:[GEO NAME]],2,FALSE)</f>
        <v>APAC</v>
      </c>
      <c r="H422" s="1" t="str">
        <f>"Q"&amp;ROUNDUP(MONTH(VolumebyClient[[#This Row],[Date]])/3,0)&amp;" "&amp;YEAR(VolumebyClient[[#This Row],[Date]])</f>
        <v>Q4 2020</v>
      </c>
      <c r="I422" s="1" t="str">
        <f>VLOOKUP(VolumebyClient[[#This Row],[Date]],Quarters[],3,TRUE)</f>
        <v>Q4 2020</v>
      </c>
    </row>
    <row r="423" spans="1:9" x14ac:dyDescent="0.2">
      <c r="A423" s="2" t="s">
        <v>13</v>
      </c>
      <c r="B423" s="10">
        <v>44377</v>
      </c>
      <c r="C423" s="5">
        <v>409</v>
      </c>
      <c r="D423" s="1">
        <f>LEN(VolumebyClient[[#This Row],[CLID]])</f>
        <v>7</v>
      </c>
      <c r="F423" s="1" t="str">
        <f>INDEX(GeobyClient[GEOID],MATCH(VolumebyClient[[#This Row],[CLID]],GeobyClient[Right],0))</f>
        <v>GEO1002</v>
      </c>
      <c r="G423" s="1" t="str">
        <f>VLOOKUP(VolumebyClient[[#This Row],[Index Match Region ID]],GEONames[[GEOID]:[GEO NAME]],2,FALSE)</f>
        <v>APAC</v>
      </c>
      <c r="H423" s="1" t="str">
        <f>"Q"&amp;ROUNDUP(MONTH(VolumebyClient[[#This Row],[Date]])/3,0)&amp;" "&amp;YEAR(VolumebyClient[[#This Row],[Date]])</f>
        <v>Q2 2021</v>
      </c>
      <c r="I423" s="1" t="str">
        <f>VLOOKUP(VolumebyClient[[#This Row],[Date]],Quarters[],3,TRUE)</f>
        <v>Q2 2021</v>
      </c>
    </row>
    <row r="424" spans="1:9" x14ac:dyDescent="0.2">
      <c r="A424" s="2" t="s">
        <v>13</v>
      </c>
      <c r="B424" s="10">
        <v>44347</v>
      </c>
      <c r="C424" s="5">
        <v>459</v>
      </c>
      <c r="D424" s="1">
        <f>LEN(VolumebyClient[[#This Row],[CLID]])</f>
        <v>7</v>
      </c>
      <c r="F424" s="1" t="str">
        <f>INDEX(GeobyClient[GEOID],MATCH(VolumebyClient[[#This Row],[CLID]],GeobyClient[Right],0))</f>
        <v>GEO1002</v>
      </c>
      <c r="G424" s="1" t="str">
        <f>VLOOKUP(VolumebyClient[[#This Row],[Index Match Region ID]],GEONames[[GEOID]:[GEO NAME]],2,FALSE)</f>
        <v>APAC</v>
      </c>
      <c r="H424" s="1" t="str">
        <f>"Q"&amp;ROUNDUP(MONTH(VolumebyClient[[#This Row],[Date]])/3,0)&amp;" "&amp;YEAR(VolumebyClient[[#This Row],[Date]])</f>
        <v>Q2 2021</v>
      </c>
      <c r="I424" s="1" t="str">
        <f>VLOOKUP(VolumebyClient[[#This Row],[Date]],Quarters[],3,TRUE)</f>
        <v>Q2 2021</v>
      </c>
    </row>
    <row r="425" spans="1:9" x14ac:dyDescent="0.2">
      <c r="A425" s="2" t="s">
        <v>13</v>
      </c>
      <c r="B425" s="10">
        <v>44316</v>
      </c>
      <c r="C425" s="5">
        <v>591</v>
      </c>
      <c r="D425" s="1">
        <f>LEN(VolumebyClient[[#This Row],[CLID]])</f>
        <v>7</v>
      </c>
      <c r="F425" s="1" t="str">
        <f>INDEX(GeobyClient[GEOID],MATCH(VolumebyClient[[#This Row],[CLID]],GeobyClient[Right],0))</f>
        <v>GEO1002</v>
      </c>
      <c r="G425" s="1" t="str">
        <f>VLOOKUP(VolumebyClient[[#This Row],[Index Match Region ID]],GEONames[[GEOID]:[GEO NAME]],2,FALSE)</f>
        <v>APAC</v>
      </c>
      <c r="H425" s="1" t="str">
        <f>"Q"&amp;ROUNDUP(MONTH(VolumebyClient[[#This Row],[Date]])/3,0)&amp;" "&amp;YEAR(VolumebyClient[[#This Row],[Date]])</f>
        <v>Q2 2021</v>
      </c>
      <c r="I425" s="1" t="str">
        <f>VLOOKUP(VolumebyClient[[#This Row],[Date]],Quarters[],3,TRUE)</f>
        <v>Q2 2021</v>
      </c>
    </row>
    <row r="426" spans="1:9" x14ac:dyDescent="0.2">
      <c r="A426" s="2" t="s">
        <v>13</v>
      </c>
      <c r="B426" s="10">
        <v>44286</v>
      </c>
      <c r="C426" s="5">
        <v>421</v>
      </c>
      <c r="D426" s="1">
        <f>LEN(VolumebyClient[[#This Row],[CLID]])</f>
        <v>7</v>
      </c>
      <c r="F426" s="1" t="str">
        <f>INDEX(GeobyClient[GEOID],MATCH(VolumebyClient[[#This Row],[CLID]],GeobyClient[Right],0))</f>
        <v>GEO1002</v>
      </c>
      <c r="G426" s="1" t="str">
        <f>VLOOKUP(VolumebyClient[[#This Row],[Index Match Region ID]],GEONames[[GEOID]:[GEO NAME]],2,FALSE)</f>
        <v>APAC</v>
      </c>
      <c r="H426" s="1" t="str">
        <f>"Q"&amp;ROUNDUP(MONTH(VolumebyClient[[#This Row],[Date]])/3,0)&amp;" "&amp;YEAR(VolumebyClient[[#This Row],[Date]])</f>
        <v>Q1 2021</v>
      </c>
      <c r="I426" s="1" t="str">
        <f>VLOOKUP(VolumebyClient[[#This Row],[Date]],Quarters[],3,TRUE)</f>
        <v>Q1 2021</v>
      </c>
    </row>
    <row r="427" spans="1:9" x14ac:dyDescent="0.2">
      <c r="A427" s="2" t="s">
        <v>13</v>
      </c>
      <c r="B427" s="10">
        <v>44255</v>
      </c>
      <c r="C427" s="5">
        <v>456</v>
      </c>
      <c r="D427" s="1">
        <f>LEN(VolumebyClient[[#This Row],[CLID]])</f>
        <v>7</v>
      </c>
      <c r="F427" s="1" t="str">
        <f>INDEX(GeobyClient[GEOID],MATCH(VolumebyClient[[#This Row],[CLID]],GeobyClient[Right],0))</f>
        <v>GEO1002</v>
      </c>
      <c r="G427" s="1" t="str">
        <f>VLOOKUP(VolumebyClient[[#This Row],[Index Match Region ID]],GEONames[[GEOID]:[GEO NAME]],2,FALSE)</f>
        <v>APAC</v>
      </c>
      <c r="H427" s="1" t="str">
        <f>"Q"&amp;ROUNDUP(MONTH(VolumebyClient[[#This Row],[Date]])/3,0)&amp;" "&amp;YEAR(VolumebyClient[[#This Row],[Date]])</f>
        <v>Q1 2021</v>
      </c>
      <c r="I427" s="1" t="str">
        <f>VLOOKUP(VolumebyClient[[#This Row],[Date]],Quarters[],3,TRUE)</f>
        <v>Q1 2021</v>
      </c>
    </row>
    <row r="428" spans="1:9" x14ac:dyDescent="0.2">
      <c r="A428" s="2" t="s">
        <v>13</v>
      </c>
      <c r="B428" s="10">
        <v>44227</v>
      </c>
      <c r="C428" s="5">
        <v>316</v>
      </c>
      <c r="D428" s="1">
        <f>LEN(VolumebyClient[[#This Row],[CLID]])</f>
        <v>7</v>
      </c>
      <c r="F428" s="1" t="str">
        <f>INDEX(GeobyClient[GEOID],MATCH(VolumebyClient[[#This Row],[CLID]],GeobyClient[Right],0))</f>
        <v>GEO1002</v>
      </c>
      <c r="G428" s="1" t="str">
        <f>VLOOKUP(VolumebyClient[[#This Row],[Index Match Region ID]],GEONames[[GEOID]:[GEO NAME]],2,FALSE)</f>
        <v>APAC</v>
      </c>
      <c r="H428" s="1" t="str">
        <f>"Q"&amp;ROUNDUP(MONTH(VolumebyClient[[#This Row],[Date]])/3,0)&amp;" "&amp;YEAR(VolumebyClient[[#This Row],[Date]])</f>
        <v>Q1 2021</v>
      </c>
      <c r="I428" s="1" t="str">
        <f>VLOOKUP(VolumebyClient[[#This Row],[Date]],Quarters[],3,TRUE)</f>
        <v>Q1 2021</v>
      </c>
    </row>
    <row r="429" spans="1:9" x14ac:dyDescent="0.2">
      <c r="A429" s="2" t="s">
        <v>48</v>
      </c>
      <c r="B429" s="10">
        <v>43861</v>
      </c>
      <c r="C429" s="5">
        <v>1488</v>
      </c>
      <c r="D429" s="1">
        <f>LEN(VolumebyClient[[#This Row],[CLID]])</f>
        <v>7</v>
      </c>
      <c r="F429" s="1" t="str">
        <f>INDEX(GeobyClient[GEOID],MATCH(VolumebyClient[[#This Row],[CLID]],GeobyClient[Right],0))</f>
        <v>GEO1001</v>
      </c>
      <c r="G429" s="1" t="str">
        <f>VLOOKUP(VolumebyClient[[#This Row],[Index Match Region ID]],GEONames[[GEOID]:[GEO NAME]],2,FALSE)</f>
        <v>NAM</v>
      </c>
      <c r="H429" s="1" t="str">
        <f>"Q"&amp;ROUNDUP(MONTH(VolumebyClient[[#This Row],[Date]])/3,0)&amp;" "&amp;YEAR(VolumebyClient[[#This Row],[Date]])</f>
        <v>Q1 2020</v>
      </c>
      <c r="I429" s="1" t="str">
        <f>VLOOKUP(VolumebyClient[[#This Row],[Date]],Quarters[],3,TRUE)</f>
        <v>Q1 2020</v>
      </c>
    </row>
    <row r="430" spans="1:9" x14ac:dyDescent="0.2">
      <c r="A430" s="2" t="s">
        <v>48</v>
      </c>
      <c r="B430" s="10">
        <v>43890</v>
      </c>
      <c r="C430" s="5">
        <v>1674</v>
      </c>
      <c r="D430" s="1">
        <f>LEN(VolumebyClient[[#This Row],[CLID]])</f>
        <v>7</v>
      </c>
      <c r="F430" s="1" t="str">
        <f>INDEX(GeobyClient[GEOID],MATCH(VolumebyClient[[#This Row],[CLID]],GeobyClient[Right],0))</f>
        <v>GEO1001</v>
      </c>
      <c r="G430" s="1" t="str">
        <f>VLOOKUP(VolumebyClient[[#This Row],[Index Match Region ID]],GEONames[[GEOID]:[GEO NAME]],2,FALSE)</f>
        <v>NAM</v>
      </c>
      <c r="H430" s="1" t="str">
        <f>"Q"&amp;ROUNDUP(MONTH(VolumebyClient[[#This Row],[Date]])/3,0)&amp;" "&amp;YEAR(VolumebyClient[[#This Row],[Date]])</f>
        <v>Q1 2020</v>
      </c>
      <c r="I430" s="1" t="str">
        <f>VLOOKUP(VolumebyClient[[#This Row],[Date]],Quarters[],3,TRUE)</f>
        <v>Q1 2020</v>
      </c>
    </row>
    <row r="431" spans="1:9" x14ac:dyDescent="0.2">
      <c r="A431" s="2" t="s">
        <v>48</v>
      </c>
      <c r="B431" s="10">
        <v>43921</v>
      </c>
      <c r="C431" s="5">
        <v>1862</v>
      </c>
      <c r="D431" s="1">
        <f>LEN(VolumebyClient[[#This Row],[CLID]])</f>
        <v>7</v>
      </c>
      <c r="F431" s="1" t="str">
        <f>INDEX(GeobyClient[GEOID],MATCH(VolumebyClient[[#This Row],[CLID]],GeobyClient[Right],0))</f>
        <v>GEO1001</v>
      </c>
      <c r="G431" s="1" t="str">
        <f>VLOOKUP(VolumebyClient[[#This Row],[Index Match Region ID]],GEONames[[GEOID]:[GEO NAME]],2,FALSE)</f>
        <v>NAM</v>
      </c>
      <c r="H431" s="1" t="str">
        <f>"Q"&amp;ROUNDUP(MONTH(VolumebyClient[[#This Row],[Date]])/3,0)&amp;" "&amp;YEAR(VolumebyClient[[#This Row],[Date]])</f>
        <v>Q1 2020</v>
      </c>
      <c r="I431" s="1" t="str">
        <f>VLOOKUP(VolumebyClient[[#This Row],[Date]],Quarters[],3,TRUE)</f>
        <v>Q1 2020</v>
      </c>
    </row>
    <row r="432" spans="1:9" x14ac:dyDescent="0.2">
      <c r="A432" s="2" t="s">
        <v>48</v>
      </c>
      <c r="B432" s="10">
        <v>43951</v>
      </c>
      <c r="C432" s="5">
        <v>2231</v>
      </c>
      <c r="D432" s="1">
        <f>LEN(VolumebyClient[[#This Row],[CLID]])</f>
        <v>7</v>
      </c>
      <c r="F432" s="1" t="str">
        <f>INDEX(GeobyClient[GEOID],MATCH(VolumebyClient[[#This Row],[CLID]],GeobyClient[Right],0))</f>
        <v>GEO1001</v>
      </c>
      <c r="G432" s="1" t="str">
        <f>VLOOKUP(VolumebyClient[[#This Row],[Index Match Region ID]],GEONames[[GEOID]:[GEO NAME]],2,FALSE)</f>
        <v>NAM</v>
      </c>
      <c r="H432" s="1" t="str">
        <f>"Q"&amp;ROUNDUP(MONTH(VolumebyClient[[#This Row],[Date]])/3,0)&amp;" "&amp;YEAR(VolumebyClient[[#This Row],[Date]])</f>
        <v>Q2 2020</v>
      </c>
      <c r="I432" s="1" t="str">
        <f>VLOOKUP(VolumebyClient[[#This Row],[Date]],Quarters[],3,TRUE)</f>
        <v>Q2 2020</v>
      </c>
    </row>
    <row r="433" spans="1:9" x14ac:dyDescent="0.2">
      <c r="A433" s="2" t="s">
        <v>48</v>
      </c>
      <c r="B433" s="10">
        <v>43982</v>
      </c>
      <c r="C433" s="5">
        <v>2049</v>
      </c>
      <c r="D433" s="1">
        <f>LEN(VolumebyClient[[#This Row],[CLID]])</f>
        <v>7</v>
      </c>
      <c r="F433" s="1" t="str">
        <f>INDEX(GeobyClient[GEOID],MATCH(VolumebyClient[[#This Row],[CLID]],GeobyClient[Right],0))</f>
        <v>GEO1001</v>
      </c>
      <c r="G433" s="1" t="str">
        <f>VLOOKUP(VolumebyClient[[#This Row],[Index Match Region ID]],GEONames[[GEOID]:[GEO NAME]],2,FALSE)</f>
        <v>NAM</v>
      </c>
      <c r="H433" s="1" t="str">
        <f>"Q"&amp;ROUNDUP(MONTH(VolumebyClient[[#This Row],[Date]])/3,0)&amp;" "&amp;YEAR(VolumebyClient[[#This Row],[Date]])</f>
        <v>Q2 2020</v>
      </c>
      <c r="I433" s="1" t="str">
        <f>VLOOKUP(VolumebyClient[[#This Row],[Date]],Quarters[],3,TRUE)</f>
        <v>Q2 2020</v>
      </c>
    </row>
    <row r="434" spans="1:9" x14ac:dyDescent="0.2">
      <c r="A434" s="2" t="s">
        <v>48</v>
      </c>
      <c r="B434" s="10">
        <v>44012</v>
      </c>
      <c r="C434" s="5">
        <v>1489</v>
      </c>
      <c r="D434" s="1">
        <f>LEN(VolumebyClient[[#This Row],[CLID]])</f>
        <v>7</v>
      </c>
      <c r="F434" s="1" t="str">
        <f>INDEX(GeobyClient[GEOID],MATCH(VolumebyClient[[#This Row],[CLID]],GeobyClient[Right],0))</f>
        <v>GEO1001</v>
      </c>
      <c r="G434" s="1" t="str">
        <f>VLOOKUP(VolumebyClient[[#This Row],[Index Match Region ID]],GEONames[[GEOID]:[GEO NAME]],2,FALSE)</f>
        <v>NAM</v>
      </c>
      <c r="H434" s="1" t="str">
        <f>"Q"&amp;ROUNDUP(MONTH(VolumebyClient[[#This Row],[Date]])/3,0)&amp;" "&amp;YEAR(VolumebyClient[[#This Row],[Date]])</f>
        <v>Q2 2020</v>
      </c>
      <c r="I434" s="1" t="str">
        <f>VLOOKUP(VolumebyClient[[#This Row],[Date]],Quarters[],3,TRUE)</f>
        <v>Q2 2020</v>
      </c>
    </row>
    <row r="435" spans="1:9" x14ac:dyDescent="0.2">
      <c r="A435" s="2" t="s">
        <v>48</v>
      </c>
      <c r="B435" s="10">
        <v>44043</v>
      </c>
      <c r="C435" s="5">
        <v>1301</v>
      </c>
      <c r="D435" s="1">
        <f>LEN(VolumebyClient[[#This Row],[CLID]])</f>
        <v>7</v>
      </c>
      <c r="F435" s="1" t="str">
        <f>INDEX(GeobyClient[GEOID],MATCH(VolumebyClient[[#This Row],[CLID]],GeobyClient[Right],0))</f>
        <v>GEO1001</v>
      </c>
      <c r="G435" s="1" t="str">
        <f>VLOOKUP(VolumebyClient[[#This Row],[Index Match Region ID]],GEONames[[GEOID]:[GEO NAME]],2,FALSE)</f>
        <v>NAM</v>
      </c>
      <c r="H435" s="1" t="str">
        <f>"Q"&amp;ROUNDUP(MONTH(VolumebyClient[[#This Row],[Date]])/3,0)&amp;" "&amp;YEAR(VolumebyClient[[#This Row],[Date]])</f>
        <v>Q3 2020</v>
      </c>
      <c r="I435" s="1" t="str">
        <f>VLOOKUP(VolumebyClient[[#This Row],[Date]],Quarters[],3,TRUE)</f>
        <v>Q3 2020</v>
      </c>
    </row>
    <row r="436" spans="1:9" x14ac:dyDescent="0.2">
      <c r="A436" s="2" t="s">
        <v>48</v>
      </c>
      <c r="B436" s="10">
        <v>44074</v>
      </c>
      <c r="C436" s="5">
        <v>1118</v>
      </c>
      <c r="D436" s="1">
        <f>LEN(VolumebyClient[[#This Row],[CLID]])</f>
        <v>7</v>
      </c>
      <c r="F436" s="1" t="str">
        <f>INDEX(GeobyClient[GEOID],MATCH(VolumebyClient[[#This Row],[CLID]],GeobyClient[Right],0))</f>
        <v>GEO1001</v>
      </c>
      <c r="G436" s="1" t="str">
        <f>VLOOKUP(VolumebyClient[[#This Row],[Index Match Region ID]],GEONames[[GEOID]:[GEO NAME]],2,FALSE)</f>
        <v>NAM</v>
      </c>
      <c r="H436" s="1" t="str">
        <f>"Q"&amp;ROUNDUP(MONTH(VolumebyClient[[#This Row],[Date]])/3,0)&amp;" "&amp;YEAR(VolumebyClient[[#This Row],[Date]])</f>
        <v>Q3 2020</v>
      </c>
      <c r="I436" s="1" t="str">
        <f>VLOOKUP(VolumebyClient[[#This Row],[Date]],Quarters[],3,TRUE)</f>
        <v>Q3 2020</v>
      </c>
    </row>
    <row r="437" spans="1:9" x14ac:dyDescent="0.2">
      <c r="A437" s="2" t="s">
        <v>48</v>
      </c>
      <c r="B437" s="10">
        <v>44104</v>
      </c>
      <c r="C437" s="5">
        <v>1117</v>
      </c>
      <c r="D437" s="1">
        <f>LEN(VolumebyClient[[#This Row],[CLID]])</f>
        <v>7</v>
      </c>
      <c r="F437" s="1" t="str">
        <f>INDEX(GeobyClient[GEOID],MATCH(VolumebyClient[[#This Row],[CLID]],GeobyClient[Right],0))</f>
        <v>GEO1001</v>
      </c>
      <c r="G437" s="1" t="str">
        <f>VLOOKUP(VolumebyClient[[#This Row],[Index Match Region ID]],GEONames[[GEOID]:[GEO NAME]],2,FALSE)</f>
        <v>NAM</v>
      </c>
      <c r="H437" s="1" t="str">
        <f>"Q"&amp;ROUNDUP(MONTH(VolumebyClient[[#This Row],[Date]])/3,0)&amp;" "&amp;YEAR(VolumebyClient[[#This Row],[Date]])</f>
        <v>Q3 2020</v>
      </c>
      <c r="I437" s="1" t="str">
        <f>VLOOKUP(VolumebyClient[[#This Row],[Date]],Quarters[],3,TRUE)</f>
        <v>Q3 2020</v>
      </c>
    </row>
    <row r="438" spans="1:9" x14ac:dyDescent="0.2">
      <c r="A438" s="2" t="s">
        <v>48</v>
      </c>
      <c r="B438" s="10">
        <v>44135</v>
      </c>
      <c r="C438" s="5">
        <v>1301</v>
      </c>
      <c r="D438" s="1">
        <f>LEN(VolumebyClient[[#This Row],[CLID]])</f>
        <v>7</v>
      </c>
      <c r="F438" s="1" t="str">
        <f>INDEX(GeobyClient[GEOID],MATCH(VolumebyClient[[#This Row],[CLID]],GeobyClient[Right],0))</f>
        <v>GEO1001</v>
      </c>
      <c r="G438" s="1" t="str">
        <f>VLOOKUP(VolumebyClient[[#This Row],[Index Match Region ID]],GEONames[[GEOID]:[GEO NAME]],2,FALSE)</f>
        <v>NAM</v>
      </c>
      <c r="H438" s="1" t="str">
        <f>"Q"&amp;ROUNDUP(MONTH(VolumebyClient[[#This Row],[Date]])/3,0)&amp;" "&amp;YEAR(VolumebyClient[[#This Row],[Date]])</f>
        <v>Q4 2020</v>
      </c>
      <c r="I438" s="1" t="str">
        <f>VLOOKUP(VolumebyClient[[#This Row],[Date]],Quarters[],3,TRUE)</f>
        <v>Q4 2020</v>
      </c>
    </row>
    <row r="439" spans="1:9" x14ac:dyDescent="0.2">
      <c r="A439" s="2" t="s">
        <v>48</v>
      </c>
      <c r="B439" s="10">
        <v>44165</v>
      </c>
      <c r="C439" s="5">
        <v>1488</v>
      </c>
      <c r="D439" s="1">
        <f>LEN(VolumebyClient[[#This Row],[CLID]])</f>
        <v>7</v>
      </c>
      <c r="F439" s="1" t="str">
        <f>INDEX(GeobyClient[GEOID],MATCH(VolumebyClient[[#This Row],[CLID]],GeobyClient[Right],0))</f>
        <v>GEO1001</v>
      </c>
      <c r="G439" s="1" t="str">
        <f>VLOOKUP(VolumebyClient[[#This Row],[Index Match Region ID]],GEONames[[GEOID]:[GEO NAME]],2,FALSE)</f>
        <v>NAM</v>
      </c>
      <c r="H439" s="1" t="str">
        <f>"Q"&amp;ROUNDUP(MONTH(VolumebyClient[[#This Row],[Date]])/3,0)&amp;" "&amp;YEAR(VolumebyClient[[#This Row],[Date]])</f>
        <v>Q4 2020</v>
      </c>
      <c r="I439" s="1" t="str">
        <f>VLOOKUP(VolumebyClient[[#This Row],[Date]],Quarters[],3,TRUE)</f>
        <v>Q4 2020</v>
      </c>
    </row>
    <row r="440" spans="1:9" x14ac:dyDescent="0.2">
      <c r="A440" s="2" t="s">
        <v>48</v>
      </c>
      <c r="B440" s="10">
        <v>44196</v>
      </c>
      <c r="C440" s="5">
        <v>1489</v>
      </c>
      <c r="D440" s="1">
        <f>LEN(VolumebyClient[[#This Row],[CLID]])</f>
        <v>7</v>
      </c>
      <c r="F440" s="1" t="str">
        <f>INDEX(GeobyClient[GEOID],MATCH(VolumebyClient[[#This Row],[CLID]],GeobyClient[Right],0))</f>
        <v>GEO1001</v>
      </c>
      <c r="G440" s="1" t="str">
        <f>VLOOKUP(VolumebyClient[[#This Row],[Index Match Region ID]],GEONames[[GEOID]:[GEO NAME]],2,FALSE)</f>
        <v>NAM</v>
      </c>
      <c r="H440" s="1" t="str">
        <f>"Q"&amp;ROUNDUP(MONTH(VolumebyClient[[#This Row],[Date]])/3,0)&amp;" "&amp;YEAR(VolumebyClient[[#This Row],[Date]])</f>
        <v>Q4 2020</v>
      </c>
      <c r="I440" s="1" t="str">
        <f>VLOOKUP(VolumebyClient[[#This Row],[Date]],Quarters[],3,TRUE)</f>
        <v>Q4 2020</v>
      </c>
    </row>
    <row r="441" spans="1:9" x14ac:dyDescent="0.2">
      <c r="A441" s="2" t="s">
        <v>48</v>
      </c>
      <c r="B441" s="10">
        <v>44377</v>
      </c>
      <c r="C441" s="5">
        <v>1551</v>
      </c>
      <c r="D441" s="1">
        <f>LEN(VolumebyClient[[#This Row],[CLID]])</f>
        <v>7</v>
      </c>
      <c r="F441" s="1" t="str">
        <f>INDEX(GeobyClient[GEOID],MATCH(VolumebyClient[[#This Row],[CLID]],GeobyClient[Right],0))</f>
        <v>GEO1001</v>
      </c>
      <c r="G441" s="1" t="str">
        <f>VLOOKUP(VolumebyClient[[#This Row],[Index Match Region ID]],GEONames[[GEOID]:[GEO NAME]],2,FALSE)</f>
        <v>NAM</v>
      </c>
      <c r="H441" s="1" t="str">
        <f>"Q"&amp;ROUNDUP(MONTH(VolumebyClient[[#This Row],[Date]])/3,0)&amp;" "&amp;YEAR(VolumebyClient[[#This Row],[Date]])</f>
        <v>Q2 2021</v>
      </c>
      <c r="I441" s="1" t="str">
        <f>VLOOKUP(VolumebyClient[[#This Row],[Date]],Quarters[],3,TRUE)</f>
        <v>Q2 2021</v>
      </c>
    </row>
    <row r="442" spans="1:9" x14ac:dyDescent="0.2">
      <c r="A442" s="2" t="s">
        <v>48</v>
      </c>
      <c r="B442" s="10">
        <v>44347</v>
      </c>
      <c r="C442" s="5">
        <v>2067</v>
      </c>
      <c r="D442" s="1">
        <f>LEN(VolumebyClient[[#This Row],[CLID]])</f>
        <v>7</v>
      </c>
      <c r="F442" s="1" t="str">
        <f>INDEX(GeobyClient[GEOID],MATCH(VolumebyClient[[#This Row],[CLID]],GeobyClient[Right],0))</f>
        <v>GEO1001</v>
      </c>
      <c r="G442" s="1" t="str">
        <f>VLOOKUP(VolumebyClient[[#This Row],[Index Match Region ID]],GEONames[[GEOID]:[GEO NAME]],2,FALSE)</f>
        <v>NAM</v>
      </c>
      <c r="H442" s="1" t="str">
        <f>"Q"&amp;ROUNDUP(MONTH(VolumebyClient[[#This Row],[Date]])/3,0)&amp;" "&amp;YEAR(VolumebyClient[[#This Row],[Date]])</f>
        <v>Q2 2021</v>
      </c>
      <c r="I442" s="1" t="str">
        <f>VLOOKUP(VolumebyClient[[#This Row],[Date]],Quarters[],3,TRUE)</f>
        <v>Q2 2021</v>
      </c>
    </row>
    <row r="443" spans="1:9" x14ac:dyDescent="0.2">
      <c r="A443" s="2" t="s">
        <v>48</v>
      </c>
      <c r="B443" s="10">
        <v>44316</v>
      </c>
      <c r="C443" s="5">
        <v>2277</v>
      </c>
      <c r="D443" s="1">
        <f>LEN(VolumebyClient[[#This Row],[CLID]])</f>
        <v>7</v>
      </c>
      <c r="F443" s="1" t="str">
        <f>INDEX(GeobyClient[GEOID],MATCH(VolumebyClient[[#This Row],[CLID]],GeobyClient[Right],0))</f>
        <v>GEO1001</v>
      </c>
      <c r="G443" s="1" t="str">
        <f>VLOOKUP(VolumebyClient[[#This Row],[Index Match Region ID]],GEONames[[GEOID]:[GEO NAME]],2,FALSE)</f>
        <v>NAM</v>
      </c>
      <c r="H443" s="1" t="str">
        <f>"Q"&amp;ROUNDUP(MONTH(VolumebyClient[[#This Row],[Date]])/3,0)&amp;" "&amp;YEAR(VolumebyClient[[#This Row],[Date]])</f>
        <v>Q2 2021</v>
      </c>
      <c r="I443" s="1" t="str">
        <f>VLOOKUP(VolumebyClient[[#This Row],[Date]],Quarters[],3,TRUE)</f>
        <v>Q2 2021</v>
      </c>
    </row>
    <row r="444" spans="1:9" x14ac:dyDescent="0.2">
      <c r="A444" s="2" t="s">
        <v>48</v>
      </c>
      <c r="B444" s="10">
        <v>44286</v>
      </c>
      <c r="C444" s="5">
        <v>1854</v>
      </c>
      <c r="D444" s="1">
        <f>LEN(VolumebyClient[[#This Row],[CLID]])</f>
        <v>7</v>
      </c>
      <c r="F444" s="1" t="str">
        <f>INDEX(GeobyClient[GEOID],MATCH(VolumebyClient[[#This Row],[CLID]],GeobyClient[Right],0))</f>
        <v>GEO1001</v>
      </c>
      <c r="G444" s="1" t="str">
        <f>VLOOKUP(VolumebyClient[[#This Row],[Index Match Region ID]],GEONames[[GEOID]:[GEO NAME]],2,FALSE)</f>
        <v>NAM</v>
      </c>
      <c r="H444" s="1" t="str">
        <f>"Q"&amp;ROUNDUP(MONTH(VolumebyClient[[#This Row],[Date]])/3,0)&amp;" "&amp;YEAR(VolumebyClient[[#This Row],[Date]])</f>
        <v>Q1 2021</v>
      </c>
      <c r="I444" s="1" t="str">
        <f>VLOOKUP(VolumebyClient[[#This Row],[Date]],Quarters[],3,TRUE)</f>
        <v>Q1 2021</v>
      </c>
    </row>
    <row r="445" spans="1:9" x14ac:dyDescent="0.2">
      <c r="A445" s="2" t="s">
        <v>48</v>
      </c>
      <c r="B445" s="10">
        <v>44255</v>
      </c>
      <c r="C445" s="5">
        <v>1665</v>
      </c>
      <c r="D445" s="1">
        <f>LEN(VolumebyClient[[#This Row],[CLID]])</f>
        <v>7</v>
      </c>
      <c r="F445" s="1" t="str">
        <f>INDEX(GeobyClient[GEOID],MATCH(VolumebyClient[[#This Row],[CLID]],GeobyClient[Right],0))</f>
        <v>GEO1001</v>
      </c>
      <c r="G445" s="1" t="str">
        <f>VLOOKUP(VolumebyClient[[#This Row],[Index Match Region ID]],GEONames[[GEOID]:[GEO NAME]],2,FALSE)</f>
        <v>NAM</v>
      </c>
      <c r="H445" s="1" t="str">
        <f>"Q"&amp;ROUNDUP(MONTH(VolumebyClient[[#This Row],[Date]])/3,0)&amp;" "&amp;YEAR(VolumebyClient[[#This Row],[Date]])</f>
        <v>Q1 2021</v>
      </c>
      <c r="I445" s="1" t="str">
        <f>VLOOKUP(VolumebyClient[[#This Row],[Date]],Quarters[],3,TRUE)</f>
        <v>Q1 2021</v>
      </c>
    </row>
    <row r="446" spans="1:9" x14ac:dyDescent="0.2">
      <c r="A446" s="2" t="s">
        <v>48</v>
      </c>
      <c r="B446" s="10">
        <v>44227</v>
      </c>
      <c r="C446" s="5">
        <v>1516</v>
      </c>
      <c r="D446" s="1">
        <f>LEN(VolumebyClient[[#This Row],[CLID]])</f>
        <v>7</v>
      </c>
      <c r="F446" s="1" t="str">
        <f>INDEX(GeobyClient[GEOID],MATCH(VolumebyClient[[#This Row],[CLID]],GeobyClient[Right],0))</f>
        <v>GEO1001</v>
      </c>
      <c r="G446" s="1" t="str">
        <f>VLOOKUP(VolumebyClient[[#This Row],[Index Match Region ID]],GEONames[[GEOID]:[GEO NAME]],2,FALSE)</f>
        <v>NAM</v>
      </c>
      <c r="H446" s="1" t="str">
        <f>"Q"&amp;ROUNDUP(MONTH(VolumebyClient[[#This Row],[Date]])/3,0)&amp;" "&amp;YEAR(VolumebyClient[[#This Row],[Date]])</f>
        <v>Q1 2021</v>
      </c>
      <c r="I446" s="1" t="str">
        <f>VLOOKUP(VolumebyClient[[#This Row],[Date]],Quarters[],3,TRUE)</f>
        <v>Q1 2021</v>
      </c>
    </row>
    <row r="447" spans="1:9" x14ac:dyDescent="0.2">
      <c r="A447" s="2" t="s">
        <v>24</v>
      </c>
      <c r="B447" s="10">
        <v>43861</v>
      </c>
      <c r="C447" s="5">
        <v>644</v>
      </c>
      <c r="D447" s="1">
        <f>LEN(VolumebyClient[[#This Row],[CLID]])</f>
        <v>7</v>
      </c>
      <c r="F447" s="1" t="str">
        <f>INDEX(GeobyClient[GEOID],MATCH(VolumebyClient[[#This Row],[CLID]],GeobyClient[Right],0))</f>
        <v>GEO1002</v>
      </c>
      <c r="G447" s="1" t="str">
        <f>VLOOKUP(VolumebyClient[[#This Row],[Index Match Region ID]],GEONames[[GEOID]:[GEO NAME]],2,FALSE)</f>
        <v>APAC</v>
      </c>
      <c r="H447" s="1" t="str">
        <f>"Q"&amp;ROUNDUP(MONTH(VolumebyClient[[#This Row],[Date]])/3,0)&amp;" "&amp;YEAR(VolumebyClient[[#This Row],[Date]])</f>
        <v>Q1 2020</v>
      </c>
      <c r="I447" s="1" t="str">
        <f>VLOOKUP(VolumebyClient[[#This Row],[Date]],Quarters[],3,TRUE)</f>
        <v>Q1 2020</v>
      </c>
    </row>
    <row r="448" spans="1:9" x14ac:dyDescent="0.2">
      <c r="A448" s="2" t="s">
        <v>24</v>
      </c>
      <c r="B448" s="10">
        <v>43890</v>
      </c>
      <c r="C448" s="5">
        <v>814</v>
      </c>
      <c r="D448" s="1">
        <f>LEN(VolumebyClient[[#This Row],[CLID]])</f>
        <v>7</v>
      </c>
      <c r="F448" s="1" t="str">
        <f>INDEX(GeobyClient[GEOID],MATCH(VolumebyClient[[#This Row],[CLID]],GeobyClient[Right],0))</f>
        <v>GEO1002</v>
      </c>
      <c r="G448" s="1" t="str">
        <f>VLOOKUP(VolumebyClient[[#This Row],[Index Match Region ID]],GEONames[[GEOID]:[GEO NAME]],2,FALSE)</f>
        <v>APAC</v>
      </c>
      <c r="H448" s="1" t="str">
        <f>"Q"&amp;ROUNDUP(MONTH(VolumebyClient[[#This Row],[Date]])/3,0)&amp;" "&amp;YEAR(VolumebyClient[[#This Row],[Date]])</f>
        <v>Q1 2020</v>
      </c>
      <c r="I448" s="1" t="str">
        <f>VLOOKUP(VolumebyClient[[#This Row],[Date]],Quarters[],3,TRUE)</f>
        <v>Q1 2020</v>
      </c>
    </row>
    <row r="449" spans="1:9" x14ac:dyDescent="0.2">
      <c r="A449" s="2" t="s">
        <v>24</v>
      </c>
      <c r="B449" s="10">
        <v>43921</v>
      </c>
      <c r="C449" s="5">
        <v>814</v>
      </c>
      <c r="D449" s="1">
        <f>LEN(VolumebyClient[[#This Row],[CLID]])</f>
        <v>7</v>
      </c>
      <c r="F449" s="1" t="str">
        <f>INDEX(GeobyClient[GEOID],MATCH(VolumebyClient[[#This Row],[CLID]],GeobyClient[Right],0))</f>
        <v>GEO1002</v>
      </c>
      <c r="G449" s="1" t="str">
        <f>VLOOKUP(VolumebyClient[[#This Row],[Index Match Region ID]],GEONames[[GEOID]:[GEO NAME]],2,FALSE)</f>
        <v>APAC</v>
      </c>
      <c r="H449" s="1" t="str">
        <f>"Q"&amp;ROUNDUP(MONTH(VolumebyClient[[#This Row],[Date]])/3,0)&amp;" "&amp;YEAR(VolumebyClient[[#This Row],[Date]])</f>
        <v>Q1 2020</v>
      </c>
      <c r="I449" s="1" t="str">
        <f>VLOOKUP(VolumebyClient[[#This Row],[Date]],Quarters[],3,TRUE)</f>
        <v>Q1 2020</v>
      </c>
    </row>
    <row r="450" spans="1:9" x14ac:dyDescent="0.2">
      <c r="A450" s="2" t="s">
        <v>24</v>
      </c>
      <c r="B450" s="10">
        <v>43951</v>
      </c>
      <c r="C450" s="5">
        <v>1068</v>
      </c>
      <c r="D450" s="1">
        <f>LEN(VolumebyClient[[#This Row],[CLID]])</f>
        <v>7</v>
      </c>
      <c r="F450" s="1" t="str">
        <f>INDEX(GeobyClient[GEOID],MATCH(VolumebyClient[[#This Row],[CLID]],GeobyClient[Right],0))</f>
        <v>GEO1002</v>
      </c>
      <c r="G450" s="1" t="str">
        <f>VLOOKUP(VolumebyClient[[#This Row],[Index Match Region ID]],GEONames[[GEOID]:[GEO NAME]],2,FALSE)</f>
        <v>APAC</v>
      </c>
      <c r="H450" s="1" t="str">
        <f>"Q"&amp;ROUNDUP(MONTH(VolumebyClient[[#This Row],[Date]])/3,0)&amp;" "&amp;YEAR(VolumebyClient[[#This Row],[Date]])</f>
        <v>Q2 2020</v>
      </c>
      <c r="I450" s="1" t="str">
        <f>VLOOKUP(VolumebyClient[[#This Row],[Date]],Quarters[],3,TRUE)</f>
        <v>Q2 2020</v>
      </c>
    </row>
    <row r="451" spans="1:9" x14ac:dyDescent="0.2">
      <c r="A451" s="2" t="s">
        <v>24</v>
      </c>
      <c r="B451" s="10">
        <v>43982</v>
      </c>
      <c r="C451" s="5">
        <v>899</v>
      </c>
      <c r="D451" s="1">
        <f>LEN(VolumebyClient[[#This Row],[CLID]])</f>
        <v>7</v>
      </c>
      <c r="F451" s="1" t="str">
        <f>INDEX(GeobyClient[GEOID],MATCH(VolumebyClient[[#This Row],[CLID]],GeobyClient[Right],0))</f>
        <v>GEO1002</v>
      </c>
      <c r="G451" s="1" t="str">
        <f>VLOOKUP(VolumebyClient[[#This Row],[Index Match Region ID]],GEONames[[GEOID]:[GEO NAME]],2,FALSE)</f>
        <v>APAC</v>
      </c>
      <c r="H451" s="1" t="str">
        <f>"Q"&amp;ROUNDUP(MONTH(VolumebyClient[[#This Row],[Date]])/3,0)&amp;" "&amp;YEAR(VolumebyClient[[#This Row],[Date]])</f>
        <v>Q2 2020</v>
      </c>
      <c r="I451" s="1" t="str">
        <f>VLOOKUP(VolumebyClient[[#This Row],[Date]],Quarters[],3,TRUE)</f>
        <v>Q2 2020</v>
      </c>
    </row>
    <row r="452" spans="1:9" x14ac:dyDescent="0.2">
      <c r="A452" s="2" t="s">
        <v>24</v>
      </c>
      <c r="B452" s="10">
        <v>44012</v>
      </c>
      <c r="C452" s="5">
        <v>732</v>
      </c>
      <c r="D452" s="1">
        <f>LEN(VolumebyClient[[#This Row],[CLID]])</f>
        <v>7</v>
      </c>
      <c r="F452" s="1" t="str">
        <f>INDEX(GeobyClient[GEOID],MATCH(VolumebyClient[[#This Row],[CLID]],GeobyClient[Right],0))</f>
        <v>GEO1002</v>
      </c>
      <c r="G452" s="1" t="str">
        <f>VLOOKUP(VolumebyClient[[#This Row],[Index Match Region ID]],GEONames[[GEOID]:[GEO NAME]],2,FALSE)</f>
        <v>APAC</v>
      </c>
      <c r="H452" s="1" t="str">
        <f>"Q"&amp;ROUNDUP(MONTH(VolumebyClient[[#This Row],[Date]])/3,0)&amp;" "&amp;YEAR(VolumebyClient[[#This Row],[Date]])</f>
        <v>Q2 2020</v>
      </c>
      <c r="I452" s="1" t="str">
        <f>VLOOKUP(VolumebyClient[[#This Row],[Date]],Quarters[],3,TRUE)</f>
        <v>Q2 2020</v>
      </c>
    </row>
    <row r="453" spans="1:9" x14ac:dyDescent="0.2">
      <c r="A453" s="2" t="s">
        <v>24</v>
      </c>
      <c r="B453" s="10">
        <v>44043</v>
      </c>
      <c r="C453" s="5">
        <v>560</v>
      </c>
      <c r="D453" s="1">
        <f>LEN(VolumebyClient[[#This Row],[CLID]])</f>
        <v>7</v>
      </c>
      <c r="F453" s="1" t="str">
        <f>INDEX(GeobyClient[GEOID],MATCH(VolumebyClient[[#This Row],[CLID]],GeobyClient[Right],0))</f>
        <v>GEO1002</v>
      </c>
      <c r="G453" s="1" t="str">
        <f>VLOOKUP(VolumebyClient[[#This Row],[Index Match Region ID]],GEONames[[GEOID]:[GEO NAME]],2,FALSE)</f>
        <v>APAC</v>
      </c>
      <c r="H453" s="1" t="str">
        <f>"Q"&amp;ROUNDUP(MONTH(VolumebyClient[[#This Row],[Date]])/3,0)&amp;" "&amp;YEAR(VolumebyClient[[#This Row],[Date]])</f>
        <v>Q3 2020</v>
      </c>
      <c r="I453" s="1" t="str">
        <f>VLOOKUP(VolumebyClient[[#This Row],[Date]],Quarters[],3,TRUE)</f>
        <v>Q3 2020</v>
      </c>
    </row>
    <row r="454" spans="1:9" x14ac:dyDescent="0.2">
      <c r="A454" s="2" t="s">
        <v>24</v>
      </c>
      <c r="B454" s="10">
        <v>44074</v>
      </c>
      <c r="C454" s="5">
        <v>557</v>
      </c>
      <c r="D454" s="1">
        <f>LEN(VolumebyClient[[#This Row],[CLID]])</f>
        <v>7</v>
      </c>
      <c r="F454" s="1" t="str">
        <f>INDEX(GeobyClient[GEOID],MATCH(VolumebyClient[[#This Row],[CLID]],GeobyClient[Right],0))</f>
        <v>GEO1002</v>
      </c>
      <c r="G454" s="1" t="str">
        <f>VLOOKUP(VolumebyClient[[#This Row],[Index Match Region ID]],GEONames[[GEOID]:[GEO NAME]],2,FALSE)</f>
        <v>APAC</v>
      </c>
      <c r="H454" s="1" t="str">
        <f>"Q"&amp;ROUNDUP(MONTH(VolumebyClient[[#This Row],[Date]])/3,0)&amp;" "&amp;YEAR(VolumebyClient[[#This Row],[Date]])</f>
        <v>Q3 2020</v>
      </c>
      <c r="I454" s="1" t="str">
        <f>VLOOKUP(VolumebyClient[[#This Row],[Date]],Quarters[],3,TRUE)</f>
        <v>Q3 2020</v>
      </c>
    </row>
    <row r="455" spans="1:9" x14ac:dyDescent="0.2">
      <c r="A455" s="2" t="s">
        <v>24</v>
      </c>
      <c r="B455" s="10">
        <v>44104</v>
      </c>
      <c r="C455" s="5">
        <v>473</v>
      </c>
      <c r="D455" s="1">
        <f>LEN(VolumebyClient[[#This Row],[CLID]])</f>
        <v>7</v>
      </c>
      <c r="F455" s="1" t="str">
        <f>INDEX(GeobyClient[GEOID],MATCH(VolumebyClient[[#This Row],[CLID]],GeobyClient[Right],0))</f>
        <v>GEO1002</v>
      </c>
      <c r="G455" s="1" t="str">
        <f>VLOOKUP(VolumebyClient[[#This Row],[Index Match Region ID]],GEONames[[GEOID]:[GEO NAME]],2,FALSE)</f>
        <v>APAC</v>
      </c>
      <c r="H455" s="1" t="str">
        <f>"Q"&amp;ROUNDUP(MONTH(VolumebyClient[[#This Row],[Date]])/3,0)&amp;" "&amp;YEAR(VolumebyClient[[#This Row],[Date]])</f>
        <v>Q3 2020</v>
      </c>
      <c r="I455" s="1" t="str">
        <f>VLOOKUP(VolumebyClient[[#This Row],[Date]],Quarters[],3,TRUE)</f>
        <v>Q3 2020</v>
      </c>
    </row>
    <row r="456" spans="1:9" x14ac:dyDescent="0.2">
      <c r="A456" s="2" t="s">
        <v>24</v>
      </c>
      <c r="B456" s="10">
        <v>44135</v>
      </c>
      <c r="C456" s="5">
        <v>645</v>
      </c>
      <c r="D456" s="1">
        <f>LEN(VolumebyClient[[#This Row],[CLID]])</f>
        <v>7</v>
      </c>
      <c r="F456" s="1" t="str">
        <f>INDEX(GeobyClient[GEOID],MATCH(VolumebyClient[[#This Row],[CLID]],GeobyClient[Right],0))</f>
        <v>GEO1002</v>
      </c>
      <c r="G456" s="1" t="str">
        <f>VLOOKUP(VolumebyClient[[#This Row],[Index Match Region ID]],GEONames[[GEOID]:[GEO NAME]],2,FALSE)</f>
        <v>APAC</v>
      </c>
      <c r="H456" s="1" t="str">
        <f>"Q"&amp;ROUNDUP(MONTH(VolumebyClient[[#This Row],[Date]])/3,0)&amp;" "&amp;YEAR(VolumebyClient[[#This Row],[Date]])</f>
        <v>Q4 2020</v>
      </c>
      <c r="I456" s="1" t="str">
        <f>VLOOKUP(VolumebyClient[[#This Row],[Date]],Quarters[],3,TRUE)</f>
        <v>Q4 2020</v>
      </c>
    </row>
    <row r="457" spans="1:9" x14ac:dyDescent="0.2">
      <c r="A457" s="2" t="s">
        <v>24</v>
      </c>
      <c r="B457" s="10">
        <v>44165</v>
      </c>
      <c r="C457" s="5">
        <v>643</v>
      </c>
      <c r="D457" s="1">
        <f>LEN(VolumebyClient[[#This Row],[CLID]])</f>
        <v>7</v>
      </c>
      <c r="F457" s="1" t="str">
        <f>INDEX(GeobyClient[GEOID],MATCH(VolumebyClient[[#This Row],[CLID]],GeobyClient[Right],0))</f>
        <v>GEO1002</v>
      </c>
      <c r="G457" s="1" t="str">
        <f>VLOOKUP(VolumebyClient[[#This Row],[Index Match Region ID]],GEONames[[GEOID]:[GEO NAME]],2,FALSE)</f>
        <v>APAC</v>
      </c>
      <c r="H457" s="1" t="str">
        <f>"Q"&amp;ROUNDUP(MONTH(VolumebyClient[[#This Row],[Date]])/3,0)&amp;" "&amp;YEAR(VolumebyClient[[#This Row],[Date]])</f>
        <v>Q4 2020</v>
      </c>
      <c r="I457" s="1" t="str">
        <f>VLOOKUP(VolumebyClient[[#This Row],[Date]],Quarters[],3,TRUE)</f>
        <v>Q4 2020</v>
      </c>
    </row>
    <row r="458" spans="1:9" x14ac:dyDescent="0.2">
      <c r="A458" s="2" t="s">
        <v>24</v>
      </c>
      <c r="B458" s="10">
        <v>44196</v>
      </c>
      <c r="C458" s="5">
        <v>726</v>
      </c>
      <c r="D458" s="1">
        <f>LEN(VolumebyClient[[#This Row],[CLID]])</f>
        <v>7</v>
      </c>
      <c r="F458" s="1" t="str">
        <f>INDEX(GeobyClient[GEOID],MATCH(VolumebyClient[[#This Row],[CLID]],GeobyClient[Right],0))</f>
        <v>GEO1002</v>
      </c>
      <c r="G458" s="1" t="str">
        <f>VLOOKUP(VolumebyClient[[#This Row],[Index Match Region ID]],GEONames[[GEOID]:[GEO NAME]],2,FALSE)</f>
        <v>APAC</v>
      </c>
      <c r="H458" s="1" t="str">
        <f>"Q"&amp;ROUNDUP(MONTH(VolumebyClient[[#This Row],[Date]])/3,0)&amp;" "&amp;YEAR(VolumebyClient[[#This Row],[Date]])</f>
        <v>Q4 2020</v>
      </c>
      <c r="I458" s="1" t="str">
        <f>VLOOKUP(VolumebyClient[[#This Row],[Date]],Quarters[],3,TRUE)</f>
        <v>Q4 2020</v>
      </c>
    </row>
    <row r="459" spans="1:9" x14ac:dyDescent="0.2">
      <c r="A459" s="2" t="s">
        <v>24</v>
      </c>
      <c r="B459" s="10">
        <v>44377</v>
      </c>
      <c r="C459" s="5">
        <v>755</v>
      </c>
      <c r="D459" s="1">
        <f>LEN(VolumebyClient[[#This Row],[CLID]])</f>
        <v>7</v>
      </c>
      <c r="F459" s="1" t="str">
        <f>INDEX(GeobyClient[GEOID],MATCH(VolumebyClient[[#This Row],[CLID]],GeobyClient[Right],0))</f>
        <v>GEO1002</v>
      </c>
      <c r="G459" s="1" t="str">
        <f>VLOOKUP(VolumebyClient[[#This Row],[Index Match Region ID]],GEONames[[GEOID]:[GEO NAME]],2,FALSE)</f>
        <v>APAC</v>
      </c>
      <c r="H459" s="1" t="str">
        <f>"Q"&amp;ROUNDUP(MONTH(VolumebyClient[[#This Row],[Date]])/3,0)&amp;" "&amp;YEAR(VolumebyClient[[#This Row],[Date]])</f>
        <v>Q2 2021</v>
      </c>
      <c r="I459" s="1" t="str">
        <f>VLOOKUP(VolumebyClient[[#This Row],[Date]],Quarters[],3,TRUE)</f>
        <v>Q2 2021</v>
      </c>
    </row>
    <row r="460" spans="1:9" x14ac:dyDescent="0.2">
      <c r="A460" s="2" t="s">
        <v>24</v>
      </c>
      <c r="B460" s="10">
        <v>44347</v>
      </c>
      <c r="C460" s="5">
        <v>892</v>
      </c>
      <c r="D460" s="1">
        <f>LEN(VolumebyClient[[#This Row],[CLID]])</f>
        <v>7</v>
      </c>
      <c r="F460" s="1" t="str">
        <f>INDEX(GeobyClient[GEOID],MATCH(VolumebyClient[[#This Row],[CLID]],GeobyClient[Right],0))</f>
        <v>GEO1002</v>
      </c>
      <c r="G460" s="1" t="str">
        <f>VLOOKUP(VolumebyClient[[#This Row],[Index Match Region ID]],GEONames[[GEOID]:[GEO NAME]],2,FALSE)</f>
        <v>APAC</v>
      </c>
      <c r="H460" s="1" t="str">
        <f>"Q"&amp;ROUNDUP(MONTH(VolumebyClient[[#This Row],[Date]])/3,0)&amp;" "&amp;YEAR(VolumebyClient[[#This Row],[Date]])</f>
        <v>Q2 2021</v>
      </c>
      <c r="I460" s="1" t="str">
        <f>VLOOKUP(VolumebyClient[[#This Row],[Date]],Quarters[],3,TRUE)</f>
        <v>Q2 2021</v>
      </c>
    </row>
    <row r="461" spans="1:9" x14ac:dyDescent="0.2">
      <c r="A461" s="2" t="s">
        <v>24</v>
      </c>
      <c r="B461" s="10">
        <v>44316</v>
      </c>
      <c r="C461" s="5">
        <v>1125</v>
      </c>
      <c r="D461" s="1">
        <f>LEN(VolumebyClient[[#This Row],[CLID]])</f>
        <v>7</v>
      </c>
      <c r="F461" s="1" t="str">
        <f>INDEX(GeobyClient[GEOID],MATCH(VolumebyClient[[#This Row],[CLID]],GeobyClient[Right],0))</f>
        <v>GEO1002</v>
      </c>
      <c r="G461" s="1" t="str">
        <f>VLOOKUP(VolumebyClient[[#This Row],[Index Match Region ID]],GEONames[[GEOID]:[GEO NAME]],2,FALSE)</f>
        <v>APAC</v>
      </c>
      <c r="H461" s="1" t="str">
        <f>"Q"&amp;ROUNDUP(MONTH(VolumebyClient[[#This Row],[Date]])/3,0)&amp;" "&amp;YEAR(VolumebyClient[[#This Row],[Date]])</f>
        <v>Q2 2021</v>
      </c>
      <c r="I461" s="1" t="str">
        <f>VLOOKUP(VolumebyClient[[#This Row],[Date]],Quarters[],3,TRUE)</f>
        <v>Q2 2021</v>
      </c>
    </row>
    <row r="462" spans="1:9" x14ac:dyDescent="0.2">
      <c r="A462" s="2" t="s">
        <v>24</v>
      </c>
      <c r="B462" s="10">
        <v>44286</v>
      </c>
      <c r="C462" s="5">
        <v>828</v>
      </c>
      <c r="D462" s="1">
        <f>LEN(VolumebyClient[[#This Row],[CLID]])</f>
        <v>7</v>
      </c>
      <c r="F462" s="1" t="str">
        <f>INDEX(GeobyClient[GEOID],MATCH(VolumebyClient[[#This Row],[CLID]],GeobyClient[Right],0))</f>
        <v>GEO1002</v>
      </c>
      <c r="G462" s="1" t="str">
        <f>VLOOKUP(VolumebyClient[[#This Row],[Index Match Region ID]],GEONames[[GEOID]:[GEO NAME]],2,FALSE)</f>
        <v>APAC</v>
      </c>
      <c r="H462" s="1" t="str">
        <f>"Q"&amp;ROUNDUP(MONTH(VolumebyClient[[#This Row],[Date]])/3,0)&amp;" "&amp;YEAR(VolumebyClient[[#This Row],[Date]])</f>
        <v>Q1 2021</v>
      </c>
      <c r="I462" s="1" t="str">
        <f>VLOOKUP(VolumebyClient[[#This Row],[Date]],Quarters[],3,TRUE)</f>
        <v>Q1 2021</v>
      </c>
    </row>
    <row r="463" spans="1:9" x14ac:dyDescent="0.2">
      <c r="A463" s="2" t="s">
        <v>24</v>
      </c>
      <c r="B463" s="10">
        <v>44255</v>
      </c>
      <c r="C463" s="5">
        <v>855</v>
      </c>
      <c r="D463" s="1">
        <f>LEN(VolumebyClient[[#This Row],[CLID]])</f>
        <v>7</v>
      </c>
      <c r="F463" s="1" t="str">
        <f>INDEX(GeobyClient[GEOID],MATCH(VolumebyClient[[#This Row],[CLID]],GeobyClient[Right],0))</f>
        <v>GEO1002</v>
      </c>
      <c r="G463" s="1" t="str">
        <f>VLOOKUP(VolumebyClient[[#This Row],[Index Match Region ID]],GEONames[[GEOID]:[GEO NAME]],2,FALSE)</f>
        <v>APAC</v>
      </c>
      <c r="H463" s="1" t="str">
        <f>"Q"&amp;ROUNDUP(MONTH(VolumebyClient[[#This Row],[Date]])/3,0)&amp;" "&amp;YEAR(VolumebyClient[[#This Row],[Date]])</f>
        <v>Q1 2021</v>
      </c>
      <c r="I463" s="1" t="str">
        <f>VLOOKUP(VolumebyClient[[#This Row],[Date]],Quarters[],3,TRUE)</f>
        <v>Q1 2021</v>
      </c>
    </row>
    <row r="464" spans="1:9" x14ac:dyDescent="0.2">
      <c r="A464" s="2" t="s">
        <v>24</v>
      </c>
      <c r="B464" s="10">
        <v>44227</v>
      </c>
      <c r="C464" s="5">
        <v>668</v>
      </c>
      <c r="D464" s="1">
        <f>LEN(VolumebyClient[[#This Row],[CLID]])</f>
        <v>7</v>
      </c>
      <c r="F464" s="1" t="str">
        <f>INDEX(GeobyClient[GEOID],MATCH(VolumebyClient[[#This Row],[CLID]],GeobyClient[Right],0))</f>
        <v>GEO1002</v>
      </c>
      <c r="G464" s="1" t="str">
        <f>VLOOKUP(VolumebyClient[[#This Row],[Index Match Region ID]],GEONames[[GEOID]:[GEO NAME]],2,FALSE)</f>
        <v>APAC</v>
      </c>
      <c r="H464" s="1" t="str">
        <f>"Q"&amp;ROUNDUP(MONTH(VolumebyClient[[#This Row],[Date]])/3,0)&amp;" "&amp;YEAR(VolumebyClient[[#This Row],[Date]])</f>
        <v>Q1 2021</v>
      </c>
      <c r="I464" s="1" t="str">
        <f>VLOOKUP(VolumebyClient[[#This Row],[Date]],Quarters[],3,TRUE)</f>
        <v>Q1 2021</v>
      </c>
    </row>
    <row r="465" spans="1:9" x14ac:dyDescent="0.2">
      <c r="A465" s="2" t="s">
        <v>52</v>
      </c>
      <c r="B465" s="10">
        <v>43861</v>
      </c>
      <c r="C465" s="5">
        <v>6731</v>
      </c>
      <c r="D465" s="1">
        <f>LEN(VolumebyClient[[#This Row],[CLID]])</f>
        <v>7</v>
      </c>
      <c r="F465" s="1" t="str">
        <f>INDEX(GeobyClient[GEOID],MATCH(VolumebyClient[[#This Row],[CLID]],GeobyClient[Right],0))</f>
        <v>GEO1001</v>
      </c>
      <c r="G465" s="1" t="str">
        <f>VLOOKUP(VolumebyClient[[#This Row],[Index Match Region ID]],GEONames[[GEOID]:[GEO NAME]],2,FALSE)</f>
        <v>NAM</v>
      </c>
      <c r="H465" s="1" t="str">
        <f>"Q"&amp;ROUNDUP(MONTH(VolumebyClient[[#This Row],[Date]])/3,0)&amp;" "&amp;YEAR(VolumebyClient[[#This Row],[Date]])</f>
        <v>Q1 2020</v>
      </c>
      <c r="I465" s="1" t="str">
        <f>VLOOKUP(VolumebyClient[[#This Row],[Date]],Quarters[],3,TRUE)</f>
        <v>Q1 2020</v>
      </c>
    </row>
    <row r="466" spans="1:9" x14ac:dyDescent="0.2">
      <c r="A466" s="2" t="s">
        <v>52</v>
      </c>
      <c r="B466" s="10">
        <v>43890</v>
      </c>
      <c r="C466" s="5">
        <v>5312</v>
      </c>
      <c r="D466" s="1">
        <f>LEN(VolumebyClient[[#This Row],[CLID]])</f>
        <v>7</v>
      </c>
      <c r="F466" s="1" t="str">
        <f>INDEX(GeobyClient[GEOID],MATCH(VolumebyClient[[#This Row],[CLID]],GeobyClient[Right],0))</f>
        <v>GEO1001</v>
      </c>
      <c r="G466" s="1" t="str">
        <f>VLOOKUP(VolumebyClient[[#This Row],[Index Match Region ID]],GEONames[[GEOID]:[GEO NAME]],2,FALSE)</f>
        <v>NAM</v>
      </c>
      <c r="H466" s="1" t="str">
        <f>"Q"&amp;ROUNDUP(MONTH(VolumebyClient[[#This Row],[Date]])/3,0)&amp;" "&amp;YEAR(VolumebyClient[[#This Row],[Date]])</f>
        <v>Q1 2020</v>
      </c>
      <c r="I466" s="1" t="str">
        <f>VLOOKUP(VolumebyClient[[#This Row],[Date]],Quarters[],3,TRUE)</f>
        <v>Q1 2020</v>
      </c>
    </row>
    <row r="467" spans="1:9" x14ac:dyDescent="0.2">
      <c r="A467" s="2" t="s">
        <v>52</v>
      </c>
      <c r="B467" s="10">
        <v>43921</v>
      </c>
      <c r="C467" s="5">
        <v>8146</v>
      </c>
      <c r="D467" s="1">
        <f>LEN(VolumebyClient[[#This Row],[CLID]])</f>
        <v>7</v>
      </c>
      <c r="F467" s="1" t="str">
        <f>INDEX(GeobyClient[GEOID],MATCH(VolumebyClient[[#This Row],[CLID]],GeobyClient[Right],0))</f>
        <v>GEO1001</v>
      </c>
      <c r="G467" s="1" t="str">
        <f>VLOOKUP(VolumebyClient[[#This Row],[Index Match Region ID]],GEONames[[GEOID]:[GEO NAME]],2,FALSE)</f>
        <v>NAM</v>
      </c>
      <c r="H467" s="1" t="str">
        <f>"Q"&amp;ROUNDUP(MONTH(VolumebyClient[[#This Row],[Date]])/3,0)&amp;" "&amp;YEAR(VolumebyClient[[#This Row],[Date]])</f>
        <v>Q1 2020</v>
      </c>
      <c r="I467" s="1" t="str">
        <f>VLOOKUP(VolumebyClient[[#This Row],[Date]],Quarters[],3,TRUE)</f>
        <v>Q1 2020</v>
      </c>
    </row>
    <row r="468" spans="1:9" x14ac:dyDescent="0.2">
      <c r="A468" s="2" t="s">
        <v>52</v>
      </c>
      <c r="B468" s="10">
        <v>43951</v>
      </c>
      <c r="C468" s="5">
        <v>7438</v>
      </c>
      <c r="D468" s="1">
        <f>LEN(VolumebyClient[[#This Row],[CLID]])</f>
        <v>7</v>
      </c>
      <c r="F468" s="1" t="str">
        <f>INDEX(GeobyClient[GEOID],MATCH(VolumebyClient[[#This Row],[CLID]],GeobyClient[Right],0))</f>
        <v>GEO1001</v>
      </c>
      <c r="G468" s="1" t="str">
        <f>VLOOKUP(VolumebyClient[[#This Row],[Index Match Region ID]],GEONames[[GEOID]:[GEO NAME]],2,FALSE)</f>
        <v>NAM</v>
      </c>
      <c r="H468" s="1" t="str">
        <f>"Q"&amp;ROUNDUP(MONTH(VolumebyClient[[#This Row],[Date]])/3,0)&amp;" "&amp;YEAR(VolumebyClient[[#This Row],[Date]])</f>
        <v>Q2 2020</v>
      </c>
      <c r="I468" s="1" t="str">
        <f>VLOOKUP(VolumebyClient[[#This Row],[Date]],Quarters[],3,TRUE)</f>
        <v>Q2 2020</v>
      </c>
    </row>
    <row r="469" spans="1:9" x14ac:dyDescent="0.2">
      <c r="A469" s="2" t="s">
        <v>52</v>
      </c>
      <c r="B469" s="10">
        <v>43982</v>
      </c>
      <c r="C469" s="5">
        <v>8850</v>
      </c>
      <c r="D469" s="1">
        <f>LEN(VolumebyClient[[#This Row],[CLID]])</f>
        <v>7</v>
      </c>
      <c r="F469" s="1" t="str">
        <f>INDEX(GeobyClient[GEOID],MATCH(VolumebyClient[[#This Row],[CLID]],GeobyClient[Right],0))</f>
        <v>GEO1001</v>
      </c>
      <c r="G469" s="1" t="str">
        <f>VLOOKUP(VolumebyClient[[#This Row],[Index Match Region ID]],GEONames[[GEOID]:[GEO NAME]],2,FALSE)</f>
        <v>NAM</v>
      </c>
      <c r="H469" s="1" t="str">
        <f>"Q"&amp;ROUNDUP(MONTH(VolumebyClient[[#This Row],[Date]])/3,0)&amp;" "&amp;YEAR(VolumebyClient[[#This Row],[Date]])</f>
        <v>Q2 2020</v>
      </c>
      <c r="I469" s="1" t="str">
        <f>VLOOKUP(VolumebyClient[[#This Row],[Date]],Quarters[],3,TRUE)</f>
        <v>Q2 2020</v>
      </c>
    </row>
    <row r="470" spans="1:9" x14ac:dyDescent="0.2">
      <c r="A470" s="2" t="s">
        <v>52</v>
      </c>
      <c r="B470" s="10">
        <v>44012</v>
      </c>
      <c r="C470" s="5">
        <v>4608</v>
      </c>
      <c r="D470" s="1">
        <f>LEN(VolumebyClient[[#This Row],[CLID]])</f>
        <v>7</v>
      </c>
      <c r="F470" s="1" t="str">
        <f>INDEX(GeobyClient[GEOID],MATCH(VolumebyClient[[#This Row],[CLID]],GeobyClient[Right],0))</f>
        <v>GEO1001</v>
      </c>
      <c r="G470" s="1" t="str">
        <f>VLOOKUP(VolumebyClient[[#This Row],[Index Match Region ID]],GEONames[[GEOID]:[GEO NAME]],2,FALSE)</f>
        <v>NAM</v>
      </c>
      <c r="H470" s="1" t="str">
        <f>"Q"&amp;ROUNDUP(MONTH(VolumebyClient[[#This Row],[Date]])/3,0)&amp;" "&amp;YEAR(VolumebyClient[[#This Row],[Date]])</f>
        <v>Q2 2020</v>
      </c>
      <c r="I470" s="1" t="str">
        <f>VLOOKUP(VolumebyClient[[#This Row],[Date]],Quarters[],3,TRUE)</f>
        <v>Q2 2020</v>
      </c>
    </row>
    <row r="471" spans="1:9" x14ac:dyDescent="0.2">
      <c r="A471" s="2" t="s">
        <v>52</v>
      </c>
      <c r="B471" s="10">
        <v>44043</v>
      </c>
      <c r="C471" s="5">
        <v>6024</v>
      </c>
      <c r="D471" s="1">
        <f>LEN(VolumebyClient[[#This Row],[CLID]])</f>
        <v>7</v>
      </c>
      <c r="F471" s="1" t="str">
        <f>INDEX(GeobyClient[GEOID],MATCH(VolumebyClient[[#This Row],[CLID]],GeobyClient[Right],0))</f>
        <v>GEO1001</v>
      </c>
      <c r="G471" s="1" t="str">
        <f>VLOOKUP(VolumebyClient[[#This Row],[Index Match Region ID]],GEONames[[GEOID]:[GEO NAME]],2,FALSE)</f>
        <v>NAM</v>
      </c>
      <c r="H471" s="1" t="str">
        <f>"Q"&amp;ROUNDUP(MONTH(VolumebyClient[[#This Row],[Date]])/3,0)&amp;" "&amp;YEAR(VolumebyClient[[#This Row],[Date]])</f>
        <v>Q3 2020</v>
      </c>
      <c r="I471" s="1" t="str">
        <f>VLOOKUP(VolumebyClient[[#This Row],[Date]],Quarters[],3,TRUE)</f>
        <v>Q3 2020</v>
      </c>
    </row>
    <row r="472" spans="1:9" x14ac:dyDescent="0.2">
      <c r="A472" s="2" t="s">
        <v>52</v>
      </c>
      <c r="B472" s="10">
        <v>44074</v>
      </c>
      <c r="C472" s="5">
        <v>3188</v>
      </c>
      <c r="D472" s="1">
        <f>LEN(VolumebyClient[[#This Row],[CLID]])</f>
        <v>7</v>
      </c>
      <c r="F472" s="1" t="str">
        <f>INDEX(GeobyClient[GEOID],MATCH(VolumebyClient[[#This Row],[CLID]],GeobyClient[Right],0))</f>
        <v>GEO1001</v>
      </c>
      <c r="G472" s="1" t="str">
        <f>VLOOKUP(VolumebyClient[[#This Row],[Index Match Region ID]],GEONames[[GEOID]:[GEO NAME]],2,FALSE)</f>
        <v>NAM</v>
      </c>
      <c r="H472" s="1" t="str">
        <f>"Q"&amp;ROUNDUP(MONTH(VolumebyClient[[#This Row],[Date]])/3,0)&amp;" "&amp;YEAR(VolumebyClient[[#This Row],[Date]])</f>
        <v>Q3 2020</v>
      </c>
      <c r="I472" s="1" t="str">
        <f>VLOOKUP(VolumebyClient[[#This Row],[Date]],Quarters[],3,TRUE)</f>
        <v>Q3 2020</v>
      </c>
    </row>
    <row r="473" spans="1:9" x14ac:dyDescent="0.2">
      <c r="A473" s="2" t="s">
        <v>52</v>
      </c>
      <c r="B473" s="10">
        <v>44104</v>
      </c>
      <c r="C473" s="5">
        <v>5313</v>
      </c>
      <c r="D473" s="1">
        <f>LEN(VolumebyClient[[#This Row],[CLID]])</f>
        <v>7</v>
      </c>
      <c r="F473" s="1" t="str">
        <f>INDEX(GeobyClient[GEOID],MATCH(VolumebyClient[[#This Row],[CLID]],GeobyClient[Right],0))</f>
        <v>GEO1001</v>
      </c>
      <c r="G473" s="1" t="str">
        <f>VLOOKUP(VolumebyClient[[#This Row],[Index Match Region ID]],GEONames[[GEOID]:[GEO NAME]],2,FALSE)</f>
        <v>NAM</v>
      </c>
      <c r="H473" s="1" t="str">
        <f>"Q"&amp;ROUNDUP(MONTH(VolumebyClient[[#This Row],[Date]])/3,0)&amp;" "&amp;YEAR(VolumebyClient[[#This Row],[Date]])</f>
        <v>Q3 2020</v>
      </c>
      <c r="I473" s="1" t="str">
        <f>VLOOKUP(VolumebyClient[[#This Row],[Date]],Quarters[],3,TRUE)</f>
        <v>Q3 2020</v>
      </c>
    </row>
    <row r="474" spans="1:9" x14ac:dyDescent="0.2">
      <c r="A474" s="2" t="s">
        <v>52</v>
      </c>
      <c r="B474" s="10">
        <v>44135</v>
      </c>
      <c r="C474" s="5">
        <v>3897</v>
      </c>
      <c r="D474" s="1">
        <f>LEN(VolumebyClient[[#This Row],[CLID]])</f>
        <v>7</v>
      </c>
      <c r="F474" s="1" t="str">
        <f>INDEX(GeobyClient[GEOID],MATCH(VolumebyClient[[#This Row],[CLID]],GeobyClient[Right],0))</f>
        <v>GEO1001</v>
      </c>
      <c r="G474" s="1" t="str">
        <f>VLOOKUP(VolumebyClient[[#This Row],[Index Match Region ID]],GEONames[[GEOID]:[GEO NAME]],2,FALSE)</f>
        <v>NAM</v>
      </c>
      <c r="H474" s="1" t="str">
        <f>"Q"&amp;ROUNDUP(MONTH(VolumebyClient[[#This Row],[Date]])/3,0)&amp;" "&amp;YEAR(VolumebyClient[[#This Row],[Date]])</f>
        <v>Q4 2020</v>
      </c>
      <c r="I474" s="1" t="str">
        <f>VLOOKUP(VolumebyClient[[#This Row],[Date]],Quarters[],3,TRUE)</f>
        <v>Q4 2020</v>
      </c>
    </row>
    <row r="475" spans="1:9" x14ac:dyDescent="0.2">
      <c r="A475" s="2" t="s">
        <v>52</v>
      </c>
      <c r="B475" s="10">
        <v>44165</v>
      </c>
      <c r="C475" s="5">
        <v>6730</v>
      </c>
      <c r="D475" s="1">
        <f>LEN(VolumebyClient[[#This Row],[CLID]])</f>
        <v>7</v>
      </c>
      <c r="F475" s="1" t="str">
        <f>INDEX(GeobyClient[GEOID],MATCH(VolumebyClient[[#This Row],[CLID]],GeobyClient[Right],0))</f>
        <v>GEO1001</v>
      </c>
      <c r="G475" s="1" t="str">
        <f>VLOOKUP(VolumebyClient[[#This Row],[Index Match Region ID]],GEONames[[GEOID]:[GEO NAME]],2,FALSE)</f>
        <v>NAM</v>
      </c>
      <c r="H475" s="1" t="str">
        <f>"Q"&amp;ROUNDUP(MONTH(VolumebyClient[[#This Row],[Date]])/3,0)&amp;" "&amp;YEAR(VolumebyClient[[#This Row],[Date]])</f>
        <v>Q4 2020</v>
      </c>
      <c r="I475" s="1" t="str">
        <f>VLOOKUP(VolumebyClient[[#This Row],[Date]],Quarters[],3,TRUE)</f>
        <v>Q4 2020</v>
      </c>
    </row>
    <row r="476" spans="1:9" x14ac:dyDescent="0.2">
      <c r="A476" s="2" t="s">
        <v>52</v>
      </c>
      <c r="B476" s="10">
        <v>44196</v>
      </c>
      <c r="C476" s="5">
        <v>4607</v>
      </c>
      <c r="D476" s="1">
        <f>LEN(VolumebyClient[[#This Row],[CLID]])</f>
        <v>7</v>
      </c>
      <c r="F476" s="1" t="str">
        <f>INDEX(GeobyClient[GEOID],MATCH(VolumebyClient[[#This Row],[CLID]],GeobyClient[Right],0))</f>
        <v>GEO1001</v>
      </c>
      <c r="G476" s="1" t="str">
        <f>VLOOKUP(VolumebyClient[[#This Row],[Index Match Region ID]],GEONames[[GEOID]:[GEO NAME]],2,FALSE)</f>
        <v>NAM</v>
      </c>
      <c r="H476" s="1" t="str">
        <f>"Q"&amp;ROUNDUP(MONTH(VolumebyClient[[#This Row],[Date]])/3,0)&amp;" "&amp;YEAR(VolumebyClient[[#This Row],[Date]])</f>
        <v>Q4 2020</v>
      </c>
      <c r="I476" s="1" t="str">
        <f>VLOOKUP(VolumebyClient[[#This Row],[Date]],Quarters[],3,TRUE)</f>
        <v>Q4 2020</v>
      </c>
    </row>
    <row r="477" spans="1:9" x14ac:dyDescent="0.2">
      <c r="A477" s="2" t="s">
        <v>52</v>
      </c>
      <c r="B477" s="10">
        <v>44377</v>
      </c>
      <c r="C477" s="5">
        <v>4556</v>
      </c>
      <c r="D477" s="1">
        <f>LEN(VolumebyClient[[#This Row],[CLID]])</f>
        <v>7</v>
      </c>
      <c r="F477" s="1" t="str">
        <f>INDEX(GeobyClient[GEOID],MATCH(VolumebyClient[[#This Row],[CLID]],GeobyClient[Right],0))</f>
        <v>GEO1001</v>
      </c>
      <c r="G477" s="1" t="str">
        <f>VLOOKUP(VolumebyClient[[#This Row],[Index Match Region ID]],GEONames[[GEOID]:[GEO NAME]],2,FALSE)</f>
        <v>NAM</v>
      </c>
      <c r="H477" s="1" t="str">
        <f>"Q"&amp;ROUNDUP(MONTH(VolumebyClient[[#This Row],[Date]])/3,0)&amp;" "&amp;YEAR(VolumebyClient[[#This Row],[Date]])</f>
        <v>Q2 2021</v>
      </c>
      <c r="I477" s="1" t="str">
        <f>VLOOKUP(VolumebyClient[[#This Row],[Date]],Quarters[],3,TRUE)</f>
        <v>Q2 2021</v>
      </c>
    </row>
    <row r="478" spans="1:9" x14ac:dyDescent="0.2">
      <c r="A478" s="2" t="s">
        <v>52</v>
      </c>
      <c r="B478" s="10">
        <v>44347</v>
      </c>
      <c r="C478" s="5">
        <v>8806</v>
      </c>
      <c r="D478" s="1">
        <f>LEN(VolumebyClient[[#This Row],[CLID]])</f>
        <v>7</v>
      </c>
      <c r="F478" s="1" t="str">
        <f>INDEX(GeobyClient[GEOID],MATCH(VolumebyClient[[#This Row],[CLID]],GeobyClient[Right],0))</f>
        <v>GEO1001</v>
      </c>
      <c r="G478" s="1" t="str">
        <f>VLOOKUP(VolumebyClient[[#This Row],[Index Match Region ID]],GEONames[[GEOID]:[GEO NAME]],2,FALSE)</f>
        <v>NAM</v>
      </c>
      <c r="H478" s="1" t="str">
        <f>"Q"&amp;ROUNDUP(MONTH(VolumebyClient[[#This Row],[Date]])/3,0)&amp;" "&amp;YEAR(VolumebyClient[[#This Row],[Date]])</f>
        <v>Q2 2021</v>
      </c>
      <c r="I478" s="1" t="str">
        <f>VLOOKUP(VolumebyClient[[#This Row],[Date]],Quarters[],3,TRUE)</f>
        <v>Q2 2021</v>
      </c>
    </row>
    <row r="479" spans="1:9" x14ac:dyDescent="0.2">
      <c r="A479" s="2" t="s">
        <v>52</v>
      </c>
      <c r="B479" s="10">
        <v>44316</v>
      </c>
      <c r="C479" s="5">
        <v>7735</v>
      </c>
      <c r="D479" s="1">
        <f>LEN(VolumebyClient[[#This Row],[CLID]])</f>
        <v>7</v>
      </c>
      <c r="F479" s="1" t="str">
        <f>INDEX(GeobyClient[GEOID],MATCH(VolumebyClient[[#This Row],[CLID]],GeobyClient[Right],0))</f>
        <v>GEO1001</v>
      </c>
      <c r="G479" s="1" t="str">
        <f>VLOOKUP(VolumebyClient[[#This Row],[Index Match Region ID]],GEONames[[GEOID]:[GEO NAME]],2,FALSE)</f>
        <v>NAM</v>
      </c>
      <c r="H479" s="1" t="str">
        <f>"Q"&amp;ROUNDUP(MONTH(VolumebyClient[[#This Row],[Date]])/3,0)&amp;" "&amp;YEAR(VolumebyClient[[#This Row],[Date]])</f>
        <v>Q2 2021</v>
      </c>
      <c r="I479" s="1" t="str">
        <f>VLOOKUP(VolumebyClient[[#This Row],[Date]],Quarters[],3,TRUE)</f>
        <v>Q2 2021</v>
      </c>
    </row>
    <row r="480" spans="1:9" x14ac:dyDescent="0.2">
      <c r="A480" s="2" t="s">
        <v>52</v>
      </c>
      <c r="B480" s="10">
        <v>44286</v>
      </c>
      <c r="C480" s="5">
        <v>8064</v>
      </c>
      <c r="D480" s="1">
        <f>LEN(VolumebyClient[[#This Row],[CLID]])</f>
        <v>7</v>
      </c>
      <c r="F480" s="1" t="str">
        <f>INDEX(GeobyClient[GEOID],MATCH(VolumebyClient[[#This Row],[CLID]],GeobyClient[Right],0))</f>
        <v>GEO1001</v>
      </c>
      <c r="G480" s="1" t="str">
        <f>VLOOKUP(VolumebyClient[[#This Row],[Index Match Region ID]],GEONames[[GEOID]:[GEO NAME]],2,FALSE)</f>
        <v>NAM</v>
      </c>
      <c r="H480" s="1" t="str">
        <f>"Q"&amp;ROUNDUP(MONTH(VolumebyClient[[#This Row],[Date]])/3,0)&amp;" "&amp;YEAR(VolumebyClient[[#This Row],[Date]])</f>
        <v>Q1 2021</v>
      </c>
      <c r="I480" s="1" t="str">
        <f>VLOOKUP(VolumebyClient[[#This Row],[Date]],Quarters[],3,TRUE)</f>
        <v>Q1 2021</v>
      </c>
    </row>
    <row r="481" spans="1:9" x14ac:dyDescent="0.2">
      <c r="A481" s="2" t="s">
        <v>52</v>
      </c>
      <c r="B481" s="10">
        <v>44255</v>
      </c>
      <c r="C481" s="5">
        <v>5257</v>
      </c>
      <c r="D481" s="1">
        <f>LEN(VolumebyClient[[#This Row],[CLID]])</f>
        <v>7</v>
      </c>
      <c r="F481" s="1" t="str">
        <f>INDEX(GeobyClient[GEOID],MATCH(VolumebyClient[[#This Row],[CLID]],GeobyClient[Right],0))</f>
        <v>GEO1001</v>
      </c>
      <c r="G481" s="1" t="str">
        <f>VLOOKUP(VolumebyClient[[#This Row],[Index Match Region ID]],GEONames[[GEOID]:[GEO NAME]],2,FALSE)</f>
        <v>NAM</v>
      </c>
      <c r="H481" s="1" t="str">
        <f>"Q"&amp;ROUNDUP(MONTH(VolumebyClient[[#This Row],[Date]])/3,0)&amp;" "&amp;YEAR(VolumebyClient[[#This Row],[Date]])</f>
        <v>Q1 2021</v>
      </c>
      <c r="I481" s="1" t="str">
        <f>VLOOKUP(VolumebyClient[[#This Row],[Date]],Quarters[],3,TRUE)</f>
        <v>Q1 2021</v>
      </c>
    </row>
    <row r="482" spans="1:9" x14ac:dyDescent="0.2">
      <c r="A482" s="2" t="s">
        <v>52</v>
      </c>
      <c r="B482" s="10">
        <v>44227</v>
      </c>
      <c r="C482" s="5">
        <v>6996</v>
      </c>
      <c r="D482" s="1">
        <f>LEN(VolumebyClient[[#This Row],[CLID]])</f>
        <v>7</v>
      </c>
      <c r="F482" s="1" t="str">
        <f>INDEX(GeobyClient[GEOID],MATCH(VolumebyClient[[#This Row],[CLID]],GeobyClient[Right],0))</f>
        <v>GEO1001</v>
      </c>
      <c r="G482" s="1" t="str">
        <f>VLOOKUP(VolumebyClient[[#This Row],[Index Match Region ID]],GEONames[[GEOID]:[GEO NAME]],2,FALSE)</f>
        <v>NAM</v>
      </c>
      <c r="H482" s="1" t="str">
        <f>"Q"&amp;ROUNDUP(MONTH(VolumebyClient[[#This Row],[Date]])/3,0)&amp;" "&amp;YEAR(VolumebyClient[[#This Row],[Date]])</f>
        <v>Q1 2021</v>
      </c>
      <c r="I482" s="1" t="str">
        <f>VLOOKUP(VolumebyClient[[#This Row],[Date]],Quarters[],3,TRUE)</f>
        <v>Q1 2021</v>
      </c>
    </row>
    <row r="483" spans="1:9" x14ac:dyDescent="0.2">
      <c r="A483" s="2" t="s">
        <v>37</v>
      </c>
      <c r="B483" s="10">
        <v>43861</v>
      </c>
      <c r="C483" s="5">
        <v>1087</v>
      </c>
      <c r="D483" s="1">
        <f>LEN(VolumebyClient[[#This Row],[CLID]])</f>
        <v>7</v>
      </c>
      <c r="F483" s="1" t="str">
        <f>INDEX(GeobyClient[GEOID],MATCH(VolumebyClient[[#This Row],[CLID]],GeobyClient[Right],0))</f>
        <v>GEO1001</v>
      </c>
      <c r="G483" s="1" t="str">
        <f>VLOOKUP(VolumebyClient[[#This Row],[Index Match Region ID]],GEONames[[GEOID]:[GEO NAME]],2,FALSE)</f>
        <v>NAM</v>
      </c>
      <c r="H483" s="1" t="str">
        <f>"Q"&amp;ROUNDUP(MONTH(VolumebyClient[[#This Row],[Date]])/3,0)&amp;" "&amp;YEAR(VolumebyClient[[#This Row],[Date]])</f>
        <v>Q1 2020</v>
      </c>
      <c r="I483" s="1" t="str">
        <f>VLOOKUP(VolumebyClient[[#This Row],[Date]],Quarters[],3,TRUE)</f>
        <v>Q1 2020</v>
      </c>
    </row>
    <row r="484" spans="1:9" x14ac:dyDescent="0.2">
      <c r="A484" s="2" t="s">
        <v>37</v>
      </c>
      <c r="B484" s="10">
        <v>43890</v>
      </c>
      <c r="C484" s="5">
        <v>1224</v>
      </c>
      <c r="D484" s="1">
        <f>LEN(VolumebyClient[[#This Row],[CLID]])</f>
        <v>7</v>
      </c>
      <c r="F484" s="1" t="str">
        <f>INDEX(GeobyClient[GEOID],MATCH(VolumebyClient[[#This Row],[CLID]],GeobyClient[Right],0))</f>
        <v>GEO1001</v>
      </c>
      <c r="G484" s="1" t="str">
        <f>VLOOKUP(VolumebyClient[[#This Row],[Index Match Region ID]],GEONames[[GEOID]:[GEO NAME]],2,FALSE)</f>
        <v>NAM</v>
      </c>
      <c r="H484" s="1" t="str">
        <f>"Q"&amp;ROUNDUP(MONTH(VolumebyClient[[#This Row],[Date]])/3,0)&amp;" "&amp;YEAR(VolumebyClient[[#This Row],[Date]])</f>
        <v>Q1 2020</v>
      </c>
      <c r="I484" s="1" t="str">
        <f>VLOOKUP(VolumebyClient[[#This Row],[Date]],Quarters[],3,TRUE)</f>
        <v>Q1 2020</v>
      </c>
    </row>
    <row r="485" spans="1:9" x14ac:dyDescent="0.2">
      <c r="A485" s="2" t="s">
        <v>37</v>
      </c>
      <c r="B485" s="10">
        <v>43921</v>
      </c>
      <c r="C485" s="5">
        <v>1362</v>
      </c>
      <c r="D485" s="1">
        <f>LEN(VolumebyClient[[#This Row],[CLID]])</f>
        <v>7</v>
      </c>
      <c r="F485" s="1" t="str">
        <f>INDEX(GeobyClient[GEOID],MATCH(VolumebyClient[[#This Row],[CLID]],GeobyClient[Right],0))</f>
        <v>GEO1001</v>
      </c>
      <c r="G485" s="1" t="str">
        <f>VLOOKUP(VolumebyClient[[#This Row],[Index Match Region ID]],GEONames[[GEOID]:[GEO NAME]],2,FALSE)</f>
        <v>NAM</v>
      </c>
      <c r="H485" s="1" t="str">
        <f>"Q"&amp;ROUNDUP(MONTH(VolumebyClient[[#This Row],[Date]])/3,0)&amp;" "&amp;YEAR(VolumebyClient[[#This Row],[Date]])</f>
        <v>Q1 2020</v>
      </c>
      <c r="I485" s="1" t="str">
        <f>VLOOKUP(VolumebyClient[[#This Row],[Date]],Quarters[],3,TRUE)</f>
        <v>Q1 2020</v>
      </c>
    </row>
    <row r="486" spans="1:9" x14ac:dyDescent="0.2">
      <c r="A486" s="2" t="s">
        <v>37</v>
      </c>
      <c r="B486" s="10">
        <v>43951</v>
      </c>
      <c r="C486" s="5">
        <v>1633</v>
      </c>
      <c r="D486" s="1">
        <f>LEN(VolumebyClient[[#This Row],[CLID]])</f>
        <v>7</v>
      </c>
      <c r="F486" s="1" t="str">
        <f>INDEX(GeobyClient[GEOID],MATCH(VolumebyClient[[#This Row],[CLID]],GeobyClient[Right],0))</f>
        <v>GEO1001</v>
      </c>
      <c r="G486" s="1" t="str">
        <f>VLOOKUP(VolumebyClient[[#This Row],[Index Match Region ID]],GEONames[[GEOID]:[GEO NAME]],2,FALSE)</f>
        <v>NAM</v>
      </c>
      <c r="H486" s="1" t="str">
        <f>"Q"&amp;ROUNDUP(MONTH(VolumebyClient[[#This Row],[Date]])/3,0)&amp;" "&amp;YEAR(VolumebyClient[[#This Row],[Date]])</f>
        <v>Q2 2020</v>
      </c>
      <c r="I486" s="1" t="str">
        <f>VLOOKUP(VolumebyClient[[#This Row],[Date]],Quarters[],3,TRUE)</f>
        <v>Q2 2020</v>
      </c>
    </row>
    <row r="487" spans="1:9" x14ac:dyDescent="0.2">
      <c r="A487" s="2" t="s">
        <v>37</v>
      </c>
      <c r="B487" s="10">
        <v>43982</v>
      </c>
      <c r="C487" s="5">
        <v>1492</v>
      </c>
      <c r="D487" s="1">
        <f>LEN(VolumebyClient[[#This Row],[CLID]])</f>
        <v>7</v>
      </c>
      <c r="F487" s="1" t="str">
        <f>INDEX(GeobyClient[GEOID],MATCH(VolumebyClient[[#This Row],[CLID]],GeobyClient[Right],0))</f>
        <v>GEO1001</v>
      </c>
      <c r="G487" s="1" t="str">
        <f>VLOOKUP(VolumebyClient[[#This Row],[Index Match Region ID]],GEONames[[GEOID]:[GEO NAME]],2,FALSE)</f>
        <v>NAM</v>
      </c>
      <c r="H487" s="1" t="str">
        <f>"Q"&amp;ROUNDUP(MONTH(VolumebyClient[[#This Row],[Date]])/3,0)&amp;" "&amp;YEAR(VolumebyClient[[#This Row],[Date]])</f>
        <v>Q2 2020</v>
      </c>
      <c r="I487" s="1" t="str">
        <f>VLOOKUP(VolumebyClient[[#This Row],[Date]],Quarters[],3,TRUE)</f>
        <v>Q2 2020</v>
      </c>
    </row>
    <row r="488" spans="1:9" x14ac:dyDescent="0.2">
      <c r="A488" s="2" t="s">
        <v>37</v>
      </c>
      <c r="B488" s="10">
        <v>44012</v>
      </c>
      <c r="C488" s="5">
        <v>1091</v>
      </c>
      <c r="D488" s="1">
        <f>LEN(VolumebyClient[[#This Row],[CLID]])</f>
        <v>7</v>
      </c>
      <c r="F488" s="1" t="str">
        <f>INDEX(GeobyClient[GEOID],MATCH(VolumebyClient[[#This Row],[CLID]],GeobyClient[Right],0))</f>
        <v>GEO1001</v>
      </c>
      <c r="G488" s="1" t="str">
        <f>VLOOKUP(VolumebyClient[[#This Row],[Index Match Region ID]],GEONames[[GEOID]:[GEO NAME]],2,FALSE)</f>
        <v>NAM</v>
      </c>
      <c r="H488" s="1" t="str">
        <f>"Q"&amp;ROUNDUP(MONTH(VolumebyClient[[#This Row],[Date]])/3,0)&amp;" "&amp;YEAR(VolumebyClient[[#This Row],[Date]])</f>
        <v>Q2 2020</v>
      </c>
      <c r="I488" s="1" t="str">
        <f>VLOOKUP(VolumebyClient[[#This Row],[Date]],Quarters[],3,TRUE)</f>
        <v>Q2 2020</v>
      </c>
    </row>
    <row r="489" spans="1:9" x14ac:dyDescent="0.2">
      <c r="A489" s="2" t="s">
        <v>37</v>
      </c>
      <c r="B489" s="10">
        <v>44043</v>
      </c>
      <c r="C489" s="5">
        <v>950</v>
      </c>
      <c r="D489" s="1">
        <f>LEN(VolumebyClient[[#This Row],[CLID]])</f>
        <v>7</v>
      </c>
      <c r="F489" s="1" t="str">
        <f>INDEX(GeobyClient[GEOID],MATCH(VolumebyClient[[#This Row],[CLID]],GeobyClient[Right],0))</f>
        <v>GEO1001</v>
      </c>
      <c r="G489" s="1" t="str">
        <f>VLOOKUP(VolumebyClient[[#This Row],[Index Match Region ID]],GEONames[[GEOID]:[GEO NAME]],2,FALSE)</f>
        <v>NAM</v>
      </c>
      <c r="H489" s="1" t="str">
        <f>"Q"&amp;ROUNDUP(MONTH(VolumebyClient[[#This Row],[Date]])/3,0)&amp;" "&amp;YEAR(VolumebyClient[[#This Row],[Date]])</f>
        <v>Q3 2020</v>
      </c>
      <c r="I489" s="1" t="str">
        <f>VLOOKUP(VolumebyClient[[#This Row],[Date]],Quarters[],3,TRUE)</f>
        <v>Q3 2020</v>
      </c>
    </row>
    <row r="490" spans="1:9" x14ac:dyDescent="0.2">
      <c r="A490" s="2" t="s">
        <v>37</v>
      </c>
      <c r="B490" s="10">
        <v>44074</v>
      </c>
      <c r="C490" s="5">
        <v>818</v>
      </c>
      <c r="D490" s="1">
        <f>LEN(VolumebyClient[[#This Row],[CLID]])</f>
        <v>7</v>
      </c>
      <c r="F490" s="1" t="str">
        <f>INDEX(GeobyClient[GEOID],MATCH(VolumebyClient[[#This Row],[CLID]],GeobyClient[Right],0))</f>
        <v>GEO1001</v>
      </c>
      <c r="G490" s="1" t="str">
        <f>VLOOKUP(VolumebyClient[[#This Row],[Index Match Region ID]],GEONames[[GEOID]:[GEO NAME]],2,FALSE)</f>
        <v>NAM</v>
      </c>
      <c r="H490" s="1" t="str">
        <f>"Q"&amp;ROUNDUP(MONTH(VolumebyClient[[#This Row],[Date]])/3,0)&amp;" "&amp;YEAR(VolumebyClient[[#This Row],[Date]])</f>
        <v>Q3 2020</v>
      </c>
      <c r="I490" s="1" t="str">
        <f>VLOOKUP(VolumebyClient[[#This Row],[Date]],Quarters[],3,TRUE)</f>
        <v>Q3 2020</v>
      </c>
    </row>
    <row r="491" spans="1:9" x14ac:dyDescent="0.2">
      <c r="A491" s="2" t="s">
        <v>37</v>
      </c>
      <c r="B491" s="10">
        <v>44104</v>
      </c>
      <c r="C491" s="5">
        <v>820</v>
      </c>
      <c r="D491" s="1">
        <f>LEN(VolumebyClient[[#This Row],[CLID]])</f>
        <v>7</v>
      </c>
      <c r="F491" s="1" t="str">
        <f>INDEX(GeobyClient[GEOID],MATCH(VolumebyClient[[#This Row],[CLID]],GeobyClient[Right],0))</f>
        <v>GEO1001</v>
      </c>
      <c r="G491" s="1" t="str">
        <f>VLOOKUP(VolumebyClient[[#This Row],[Index Match Region ID]],GEONames[[GEOID]:[GEO NAME]],2,FALSE)</f>
        <v>NAM</v>
      </c>
      <c r="H491" s="1" t="str">
        <f>"Q"&amp;ROUNDUP(MONTH(VolumebyClient[[#This Row],[Date]])/3,0)&amp;" "&amp;YEAR(VolumebyClient[[#This Row],[Date]])</f>
        <v>Q3 2020</v>
      </c>
      <c r="I491" s="1" t="str">
        <f>VLOOKUP(VolumebyClient[[#This Row],[Date]],Quarters[],3,TRUE)</f>
        <v>Q3 2020</v>
      </c>
    </row>
    <row r="492" spans="1:9" x14ac:dyDescent="0.2">
      <c r="A492" s="2" t="s">
        <v>37</v>
      </c>
      <c r="B492" s="10">
        <v>44135</v>
      </c>
      <c r="C492" s="5">
        <v>954</v>
      </c>
      <c r="D492" s="1">
        <f>LEN(VolumebyClient[[#This Row],[CLID]])</f>
        <v>7</v>
      </c>
      <c r="F492" s="1" t="str">
        <f>INDEX(GeobyClient[GEOID],MATCH(VolumebyClient[[#This Row],[CLID]],GeobyClient[Right],0))</f>
        <v>GEO1001</v>
      </c>
      <c r="G492" s="1" t="str">
        <f>VLOOKUP(VolumebyClient[[#This Row],[Index Match Region ID]],GEONames[[GEOID]:[GEO NAME]],2,FALSE)</f>
        <v>NAM</v>
      </c>
      <c r="H492" s="1" t="str">
        <f>"Q"&amp;ROUNDUP(MONTH(VolumebyClient[[#This Row],[Date]])/3,0)&amp;" "&amp;YEAR(VolumebyClient[[#This Row],[Date]])</f>
        <v>Q4 2020</v>
      </c>
      <c r="I492" s="1" t="str">
        <f>VLOOKUP(VolumebyClient[[#This Row],[Date]],Quarters[],3,TRUE)</f>
        <v>Q4 2020</v>
      </c>
    </row>
    <row r="493" spans="1:9" x14ac:dyDescent="0.2">
      <c r="A493" s="2" t="s">
        <v>37</v>
      </c>
      <c r="B493" s="10">
        <v>44165</v>
      </c>
      <c r="C493" s="5">
        <v>1086</v>
      </c>
      <c r="D493" s="1">
        <f>LEN(VolumebyClient[[#This Row],[CLID]])</f>
        <v>7</v>
      </c>
      <c r="F493" s="1" t="str">
        <f>INDEX(GeobyClient[GEOID],MATCH(VolumebyClient[[#This Row],[CLID]],GeobyClient[Right],0))</f>
        <v>GEO1001</v>
      </c>
      <c r="G493" s="1" t="str">
        <f>VLOOKUP(VolumebyClient[[#This Row],[Index Match Region ID]],GEONames[[GEOID]:[GEO NAME]],2,FALSE)</f>
        <v>NAM</v>
      </c>
      <c r="H493" s="1" t="str">
        <f>"Q"&amp;ROUNDUP(MONTH(VolumebyClient[[#This Row],[Date]])/3,0)&amp;" "&amp;YEAR(VolumebyClient[[#This Row],[Date]])</f>
        <v>Q4 2020</v>
      </c>
      <c r="I493" s="1" t="str">
        <f>VLOOKUP(VolumebyClient[[#This Row],[Date]],Quarters[],3,TRUE)</f>
        <v>Q4 2020</v>
      </c>
    </row>
    <row r="494" spans="1:9" x14ac:dyDescent="0.2">
      <c r="A494" s="2" t="s">
        <v>37</v>
      </c>
      <c r="B494" s="10">
        <v>44196</v>
      </c>
      <c r="C494" s="5">
        <v>1091</v>
      </c>
      <c r="D494" s="1">
        <f>LEN(VolumebyClient[[#This Row],[CLID]])</f>
        <v>7</v>
      </c>
      <c r="F494" s="1" t="str">
        <f>INDEX(GeobyClient[GEOID],MATCH(VolumebyClient[[#This Row],[CLID]],GeobyClient[Right],0))</f>
        <v>GEO1001</v>
      </c>
      <c r="G494" s="1" t="str">
        <f>VLOOKUP(VolumebyClient[[#This Row],[Index Match Region ID]],GEONames[[GEOID]:[GEO NAME]],2,FALSE)</f>
        <v>NAM</v>
      </c>
      <c r="H494" s="1" t="str">
        <f>"Q"&amp;ROUNDUP(MONTH(VolumebyClient[[#This Row],[Date]])/3,0)&amp;" "&amp;YEAR(VolumebyClient[[#This Row],[Date]])</f>
        <v>Q4 2020</v>
      </c>
      <c r="I494" s="1" t="str">
        <f>VLOOKUP(VolumebyClient[[#This Row],[Date]],Quarters[],3,TRUE)</f>
        <v>Q4 2020</v>
      </c>
    </row>
    <row r="495" spans="1:9" x14ac:dyDescent="0.2">
      <c r="A495" s="2" t="s">
        <v>37</v>
      </c>
      <c r="B495" s="10">
        <v>44316</v>
      </c>
      <c r="C495" s="5">
        <v>1614</v>
      </c>
      <c r="D495" s="1">
        <f>LEN(VolumebyClient[[#This Row],[CLID]])</f>
        <v>7</v>
      </c>
      <c r="F495" s="1" t="str">
        <f>INDEX(GeobyClient[GEOID],MATCH(VolumebyClient[[#This Row],[CLID]],GeobyClient[Right],0))</f>
        <v>GEO1001</v>
      </c>
      <c r="G495" s="1" t="str">
        <f>VLOOKUP(VolumebyClient[[#This Row],[Index Match Region ID]],GEONames[[GEOID]:[GEO NAME]],2,FALSE)</f>
        <v>NAM</v>
      </c>
      <c r="H495" s="1" t="str">
        <f>"Q"&amp;ROUNDUP(MONTH(VolumebyClient[[#This Row],[Date]])/3,0)&amp;" "&amp;YEAR(VolumebyClient[[#This Row],[Date]])</f>
        <v>Q2 2021</v>
      </c>
      <c r="I495" s="1" t="str">
        <f>VLOOKUP(VolumebyClient[[#This Row],[Date]],Quarters[],3,TRUE)</f>
        <v>Q2 2021</v>
      </c>
    </row>
    <row r="496" spans="1:9" x14ac:dyDescent="0.2">
      <c r="A496" s="2" t="s">
        <v>37</v>
      </c>
      <c r="B496" s="10">
        <v>44286</v>
      </c>
      <c r="C496" s="5">
        <v>1426</v>
      </c>
      <c r="D496" s="1">
        <f>LEN(VolumebyClient[[#This Row],[CLID]])</f>
        <v>7</v>
      </c>
      <c r="F496" s="1" t="str">
        <f>INDEX(GeobyClient[GEOID],MATCH(VolumebyClient[[#This Row],[CLID]],GeobyClient[Right],0))</f>
        <v>GEO1001</v>
      </c>
      <c r="G496" s="1" t="str">
        <f>VLOOKUP(VolumebyClient[[#This Row],[Index Match Region ID]],GEONames[[GEOID]:[GEO NAME]],2,FALSE)</f>
        <v>NAM</v>
      </c>
      <c r="H496" s="1" t="str">
        <f>"Q"&amp;ROUNDUP(MONTH(VolumebyClient[[#This Row],[Date]])/3,0)&amp;" "&amp;YEAR(VolumebyClient[[#This Row],[Date]])</f>
        <v>Q1 2021</v>
      </c>
      <c r="I496" s="1" t="str">
        <f>VLOOKUP(VolumebyClient[[#This Row],[Date]],Quarters[],3,TRUE)</f>
        <v>Q1 2021</v>
      </c>
    </row>
    <row r="497" spans="1:9" x14ac:dyDescent="0.2">
      <c r="A497" s="2" t="s">
        <v>37</v>
      </c>
      <c r="B497" s="10">
        <v>44255</v>
      </c>
      <c r="C497" s="5">
        <v>1220</v>
      </c>
      <c r="D497" s="1">
        <f>LEN(VolumebyClient[[#This Row],[CLID]])</f>
        <v>7</v>
      </c>
      <c r="F497" s="1" t="str">
        <f>INDEX(GeobyClient[GEOID],MATCH(VolumebyClient[[#This Row],[CLID]],GeobyClient[Right],0))</f>
        <v>GEO1001</v>
      </c>
      <c r="G497" s="1" t="str">
        <f>VLOOKUP(VolumebyClient[[#This Row],[Index Match Region ID]],GEONames[[GEOID]:[GEO NAME]],2,FALSE)</f>
        <v>NAM</v>
      </c>
      <c r="H497" s="1" t="str">
        <f>"Q"&amp;ROUNDUP(MONTH(VolumebyClient[[#This Row],[Date]])/3,0)&amp;" "&amp;YEAR(VolumebyClient[[#This Row],[Date]])</f>
        <v>Q1 2021</v>
      </c>
      <c r="I497" s="1" t="str">
        <f>VLOOKUP(VolumebyClient[[#This Row],[Date]],Quarters[],3,TRUE)</f>
        <v>Q1 2021</v>
      </c>
    </row>
    <row r="498" spans="1:9" x14ac:dyDescent="0.2">
      <c r="A498" s="2" t="s">
        <v>37</v>
      </c>
      <c r="B498" s="10">
        <v>44227</v>
      </c>
      <c r="C498" s="5">
        <v>1113</v>
      </c>
      <c r="D498" s="1">
        <f>LEN(VolumebyClient[[#This Row],[CLID]])</f>
        <v>7</v>
      </c>
      <c r="F498" s="1" t="str">
        <f>INDEX(GeobyClient[GEOID],MATCH(VolumebyClient[[#This Row],[CLID]],GeobyClient[Right],0))</f>
        <v>GEO1001</v>
      </c>
      <c r="G498" s="1" t="str">
        <f>VLOOKUP(VolumebyClient[[#This Row],[Index Match Region ID]],GEONames[[GEOID]:[GEO NAME]],2,FALSE)</f>
        <v>NAM</v>
      </c>
      <c r="H498" s="1" t="str">
        <f>"Q"&amp;ROUNDUP(MONTH(VolumebyClient[[#This Row],[Date]])/3,0)&amp;" "&amp;YEAR(VolumebyClient[[#This Row],[Date]])</f>
        <v>Q1 2021</v>
      </c>
      <c r="I498" s="1" t="str">
        <f>VLOOKUP(VolumebyClient[[#This Row],[Date]],Quarters[],3,TRUE)</f>
        <v>Q1 2021</v>
      </c>
    </row>
    <row r="499" spans="1:9" x14ac:dyDescent="0.2">
      <c r="A499" s="2" t="s">
        <v>11</v>
      </c>
      <c r="B499" s="10">
        <v>43861</v>
      </c>
      <c r="C499" s="5">
        <v>303</v>
      </c>
      <c r="D499" s="1">
        <f>LEN(VolumebyClient[[#This Row],[CLID]])</f>
        <v>7</v>
      </c>
      <c r="F499" s="1" t="str">
        <f>INDEX(GeobyClient[GEOID],MATCH(VolumebyClient[[#This Row],[CLID]],GeobyClient[Right],0))</f>
        <v>GEO1004</v>
      </c>
      <c r="G499" s="1" t="str">
        <f>VLOOKUP(VolumebyClient[[#This Row],[Index Match Region ID]],GEONames[[GEOID]:[GEO NAME]],2,FALSE)</f>
        <v>LATAM</v>
      </c>
      <c r="H499" s="1" t="str">
        <f>"Q"&amp;ROUNDUP(MONTH(VolumebyClient[[#This Row],[Date]])/3,0)&amp;" "&amp;YEAR(VolumebyClient[[#This Row],[Date]])</f>
        <v>Q1 2020</v>
      </c>
      <c r="I499" s="1" t="str">
        <f>VLOOKUP(VolumebyClient[[#This Row],[Date]],Quarters[],3,TRUE)</f>
        <v>Q1 2020</v>
      </c>
    </row>
    <row r="500" spans="1:9" x14ac:dyDescent="0.2">
      <c r="A500" s="2" t="s">
        <v>11</v>
      </c>
      <c r="B500" s="10">
        <v>43890</v>
      </c>
      <c r="C500" s="5">
        <v>304</v>
      </c>
      <c r="D500" s="1">
        <f>LEN(VolumebyClient[[#This Row],[CLID]])</f>
        <v>7</v>
      </c>
      <c r="F500" s="1" t="str">
        <f>INDEX(GeobyClient[GEOID],MATCH(VolumebyClient[[#This Row],[CLID]],GeobyClient[Right],0))</f>
        <v>GEO1004</v>
      </c>
      <c r="G500" s="1" t="str">
        <f>VLOOKUP(VolumebyClient[[#This Row],[Index Match Region ID]],GEONames[[GEOID]:[GEO NAME]],2,FALSE)</f>
        <v>LATAM</v>
      </c>
      <c r="H500" s="1" t="str">
        <f>"Q"&amp;ROUNDUP(MONTH(VolumebyClient[[#This Row],[Date]])/3,0)&amp;" "&amp;YEAR(VolumebyClient[[#This Row],[Date]])</f>
        <v>Q1 2020</v>
      </c>
      <c r="I500" s="1" t="str">
        <f>VLOOKUP(VolumebyClient[[#This Row],[Date]],Quarters[],3,TRUE)</f>
        <v>Q1 2020</v>
      </c>
    </row>
    <row r="501" spans="1:9" x14ac:dyDescent="0.2">
      <c r="A501" s="2" t="s">
        <v>11</v>
      </c>
      <c r="B501" s="10">
        <v>43921</v>
      </c>
      <c r="C501" s="5">
        <v>375</v>
      </c>
      <c r="D501" s="1">
        <f>LEN(VolumebyClient[[#This Row],[CLID]])</f>
        <v>7</v>
      </c>
      <c r="F501" s="1" t="str">
        <f>INDEX(GeobyClient[GEOID],MATCH(VolumebyClient[[#This Row],[CLID]],GeobyClient[Right],0))</f>
        <v>GEO1004</v>
      </c>
      <c r="G501" s="1" t="str">
        <f>VLOOKUP(VolumebyClient[[#This Row],[Index Match Region ID]],GEONames[[GEOID]:[GEO NAME]],2,FALSE)</f>
        <v>LATAM</v>
      </c>
      <c r="H501" s="1" t="str">
        <f>"Q"&amp;ROUNDUP(MONTH(VolumebyClient[[#This Row],[Date]])/3,0)&amp;" "&amp;YEAR(VolumebyClient[[#This Row],[Date]])</f>
        <v>Q1 2020</v>
      </c>
      <c r="I501" s="1" t="str">
        <f>VLOOKUP(VolumebyClient[[#This Row],[Date]],Quarters[],3,TRUE)</f>
        <v>Q1 2020</v>
      </c>
    </row>
    <row r="502" spans="1:9" x14ac:dyDescent="0.2">
      <c r="A502" s="2" t="s">
        <v>11</v>
      </c>
      <c r="B502" s="10">
        <v>43951</v>
      </c>
      <c r="C502" s="5">
        <v>407</v>
      </c>
      <c r="D502" s="1">
        <f>LEN(VolumebyClient[[#This Row],[CLID]])</f>
        <v>7</v>
      </c>
      <c r="F502" s="1" t="str">
        <f>INDEX(GeobyClient[GEOID],MATCH(VolumebyClient[[#This Row],[CLID]],GeobyClient[Right],0))</f>
        <v>GEO1004</v>
      </c>
      <c r="G502" s="1" t="str">
        <f>VLOOKUP(VolumebyClient[[#This Row],[Index Match Region ID]],GEONames[[GEOID]:[GEO NAME]],2,FALSE)</f>
        <v>LATAM</v>
      </c>
      <c r="H502" s="1" t="str">
        <f>"Q"&amp;ROUNDUP(MONTH(VolumebyClient[[#This Row],[Date]])/3,0)&amp;" "&amp;YEAR(VolumebyClient[[#This Row],[Date]])</f>
        <v>Q2 2020</v>
      </c>
      <c r="I502" s="1" t="str">
        <f>VLOOKUP(VolumebyClient[[#This Row],[Date]],Quarters[],3,TRUE)</f>
        <v>Q2 2020</v>
      </c>
    </row>
    <row r="503" spans="1:9" x14ac:dyDescent="0.2">
      <c r="A503" s="2" t="s">
        <v>11</v>
      </c>
      <c r="B503" s="10">
        <v>43982</v>
      </c>
      <c r="C503" s="5">
        <v>405</v>
      </c>
      <c r="D503" s="1">
        <f>LEN(VolumebyClient[[#This Row],[CLID]])</f>
        <v>7</v>
      </c>
      <c r="F503" s="1" t="str">
        <f>INDEX(GeobyClient[GEOID],MATCH(VolumebyClient[[#This Row],[CLID]],GeobyClient[Right],0))</f>
        <v>GEO1004</v>
      </c>
      <c r="G503" s="1" t="str">
        <f>VLOOKUP(VolumebyClient[[#This Row],[Index Match Region ID]],GEONames[[GEOID]:[GEO NAME]],2,FALSE)</f>
        <v>LATAM</v>
      </c>
      <c r="H503" s="1" t="str">
        <f>"Q"&amp;ROUNDUP(MONTH(VolumebyClient[[#This Row],[Date]])/3,0)&amp;" "&amp;YEAR(VolumebyClient[[#This Row],[Date]])</f>
        <v>Q2 2020</v>
      </c>
      <c r="I503" s="1" t="str">
        <f>VLOOKUP(VolumebyClient[[#This Row],[Date]],Quarters[],3,TRUE)</f>
        <v>Q2 2020</v>
      </c>
    </row>
    <row r="504" spans="1:9" x14ac:dyDescent="0.2">
      <c r="A504" s="2" t="s">
        <v>11</v>
      </c>
      <c r="B504" s="10">
        <v>44012</v>
      </c>
      <c r="C504" s="5">
        <v>267</v>
      </c>
      <c r="D504" s="1">
        <f>LEN(VolumebyClient[[#This Row],[CLID]])</f>
        <v>7</v>
      </c>
      <c r="F504" s="1" t="str">
        <f>INDEX(GeobyClient[GEOID],MATCH(VolumebyClient[[#This Row],[CLID]],GeobyClient[Right],0))</f>
        <v>GEO1004</v>
      </c>
      <c r="G504" s="1" t="str">
        <f>VLOOKUP(VolumebyClient[[#This Row],[Index Match Region ID]],GEONames[[GEOID]:[GEO NAME]],2,FALSE)</f>
        <v>LATAM</v>
      </c>
      <c r="H504" s="1" t="str">
        <f>"Q"&amp;ROUNDUP(MONTH(VolumebyClient[[#This Row],[Date]])/3,0)&amp;" "&amp;YEAR(VolumebyClient[[#This Row],[Date]])</f>
        <v>Q2 2020</v>
      </c>
      <c r="I504" s="1" t="str">
        <f>VLOOKUP(VolumebyClient[[#This Row],[Date]],Quarters[],3,TRUE)</f>
        <v>Q2 2020</v>
      </c>
    </row>
    <row r="505" spans="1:9" x14ac:dyDescent="0.2">
      <c r="A505" s="2" t="s">
        <v>11</v>
      </c>
      <c r="B505" s="10">
        <v>44043</v>
      </c>
      <c r="C505" s="5">
        <v>264</v>
      </c>
      <c r="D505" s="1">
        <f>LEN(VolumebyClient[[#This Row],[CLID]])</f>
        <v>7</v>
      </c>
      <c r="F505" s="1" t="str">
        <f>INDEX(GeobyClient[GEOID],MATCH(VolumebyClient[[#This Row],[CLID]],GeobyClient[Right],0))</f>
        <v>GEO1004</v>
      </c>
      <c r="G505" s="1" t="str">
        <f>VLOOKUP(VolumebyClient[[#This Row],[Index Match Region ID]],GEONames[[GEOID]:[GEO NAME]],2,FALSE)</f>
        <v>LATAM</v>
      </c>
      <c r="H505" s="1" t="str">
        <f>"Q"&amp;ROUNDUP(MONTH(VolumebyClient[[#This Row],[Date]])/3,0)&amp;" "&amp;YEAR(VolumebyClient[[#This Row],[Date]])</f>
        <v>Q3 2020</v>
      </c>
      <c r="I505" s="1" t="str">
        <f>VLOOKUP(VolumebyClient[[#This Row],[Date]],Quarters[],3,TRUE)</f>
        <v>Q3 2020</v>
      </c>
    </row>
    <row r="506" spans="1:9" x14ac:dyDescent="0.2">
      <c r="A506" s="2" t="s">
        <v>11</v>
      </c>
      <c r="B506" s="10">
        <v>44074</v>
      </c>
      <c r="C506" s="5">
        <v>195</v>
      </c>
      <c r="D506" s="1">
        <f>LEN(VolumebyClient[[#This Row],[CLID]])</f>
        <v>7</v>
      </c>
      <c r="F506" s="1" t="str">
        <f>INDEX(GeobyClient[GEOID],MATCH(VolumebyClient[[#This Row],[CLID]],GeobyClient[Right],0))</f>
        <v>GEO1004</v>
      </c>
      <c r="G506" s="1" t="str">
        <f>VLOOKUP(VolumebyClient[[#This Row],[Index Match Region ID]],GEONames[[GEOID]:[GEO NAME]],2,FALSE)</f>
        <v>LATAM</v>
      </c>
      <c r="H506" s="1" t="str">
        <f>"Q"&amp;ROUNDUP(MONTH(VolumebyClient[[#This Row],[Date]])/3,0)&amp;" "&amp;YEAR(VolumebyClient[[#This Row],[Date]])</f>
        <v>Q3 2020</v>
      </c>
      <c r="I506" s="1" t="str">
        <f>VLOOKUP(VolumebyClient[[#This Row],[Date]],Quarters[],3,TRUE)</f>
        <v>Q3 2020</v>
      </c>
    </row>
    <row r="507" spans="1:9" x14ac:dyDescent="0.2">
      <c r="A507" s="2" t="s">
        <v>11</v>
      </c>
      <c r="B507" s="10">
        <v>44104</v>
      </c>
      <c r="C507" s="5">
        <v>232</v>
      </c>
      <c r="D507" s="1">
        <f>LEN(VolumebyClient[[#This Row],[CLID]])</f>
        <v>7</v>
      </c>
      <c r="F507" s="1" t="str">
        <f>INDEX(GeobyClient[GEOID],MATCH(VolumebyClient[[#This Row],[CLID]],GeobyClient[Right],0))</f>
        <v>GEO1004</v>
      </c>
      <c r="G507" s="1" t="str">
        <f>VLOOKUP(VolumebyClient[[#This Row],[Index Match Region ID]],GEONames[[GEOID]:[GEO NAME]],2,FALSE)</f>
        <v>LATAM</v>
      </c>
      <c r="H507" s="1" t="str">
        <f>"Q"&amp;ROUNDUP(MONTH(VolumebyClient[[#This Row],[Date]])/3,0)&amp;" "&amp;YEAR(VolumebyClient[[#This Row],[Date]])</f>
        <v>Q3 2020</v>
      </c>
      <c r="I507" s="1" t="str">
        <f>VLOOKUP(VolumebyClient[[#This Row],[Date]],Quarters[],3,TRUE)</f>
        <v>Q3 2020</v>
      </c>
    </row>
    <row r="508" spans="1:9" x14ac:dyDescent="0.2">
      <c r="A508" s="2" t="s">
        <v>11</v>
      </c>
      <c r="B508" s="10">
        <v>44135</v>
      </c>
      <c r="C508" s="5">
        <v>233</v>
      </c>
      <c r="D508" s="1">
        <f>LEN(VolumebyClient[[#This Row],[CLID]])</f>
        <v>7</v>
      </c>
      <c r="F508" s="1" t="str">
        <f>INDEX(GeobyClient[GEOID],MATCH(VolumebyClient[[#This Row],[CLID]],GeobyClient[Right],0))</f>
        <v>GEO1004</v>
      </c>
      <c r="G508" s="1" t="str">
        <f>VLOOKUP(VolumebyClient[[#This Row],[Index Match Region ID]],GEONames[[GEOID]:[GEO NAME]],2,FALSE)</f>
        <v>LATAM</v>
      </c>
      <c r="H508" s="1" t="str">
        <f>"Q"&amp;ROUNDUP(MONTH(VolumebyClient[[#This Row],[Date]])/3,0)&amp;" "&amp;YEAR(VolumebyClient[[#This Row],[Date]])</f>
        <v>Q4 2020</v>
      </c>
      <c r="I508" s="1" t="str">
        <f>VLOOKUP(VolumebyClient[[#This Row],[Date]],Quarters[],3,TRUE)</f>
        <v>Q4 2020</v>
      </c>
    </row>
    <row r="509" spans="1:9" x14ac:dyDescent="0.2">
      <c r="A509" s="2" t="s">
        <v>11</v>
      </c>
      <c r="B509" s="10">
        <v>44165</v>
      </c>
      <c r="C509" s="5">
        <v>306</v>
      </c>
      <c r="D509" s="1">
        <f>LEN(VolumebyClient[[#This Row],[CLID]])</f>
        <v>7</v>
      </c>
      <c r="F509" s="1" t="str">
        <f>INDEX(GeobyClient[GEOID],MATCH(VolumebyClient[[#This Row],[CLID]],GeobyClient[Right],0))</f>
        <v>GEO1004</v>
      </c>
      <c r="G509" s="1" t="str">
        <f>VLOOKUP(VolumebyClient[[#This Row],[Index Match Region ID]],GEONames[[GEOID]:[GEO NAME]],2,FALSE)</f>
        <v>LATAM</v>
      </c>
      <c r="H509" s="1" t="str">
        <f>"Q"&amp;ROUNDUP(MONTH(VolumebyClient[[#This Row],[Date]])/3,0)&amp;" "&amp;YEAR(VolumebyClient[[#This Row],[Date]])</f>
        <v>Q4 2020</v>
      </c>
      <c r="I509" s="1" t="str">
        <f>VLOOKUP(VolumebyClient[[#This Row],[Date]],Quarters[],3,TRUE)</f>
        <v>Q4 2020</v>
      </c>
    </row>
    <row r="510" spans="1:9" x14ac:dyDescent="0.2">
      <c r="A510" s="2" t="s">
        <v>11</v>
      </c>
      <c r="B510" s="10">
        <v>44196</v>
      </c>
      <c r="C510" s="5">
        <v>267</v>
      </c>
      <c r="D510" s="1">
        <f>LEN(VolumebyClient[[#This Row],[CLID]])</f>
        <v>7</v>
      </c>
      <c r="F510" s="1" t="str">
        <f>INDEX(GeobyClient[GEOID],MATCH(VolumebyClient[[#This Row],[CLID]],GeobyClient[Right],0))</f>
        <v>GEO1004</v>
      </c>
      <c r="G510" s="1" t="str">
        <f>VLOOKUP(VolumebyClient[[#This Row],[Index Match Region ID]],GEONames[[GEOID]:[GEO NAME]],2,FALSE)</f>
        <v>LATAM</v>
      </c>
      <c r="H510" s="1" t="str">
        <f>"Q"&amp;ROUNDUP(MONTH(VolumebyClient[[#This Row],[Date]])/3,0)&amp;" "&amp;YEAR(VolumebyClient[[#This Row],[Date]])</f>
        <v>Q4 2020</v>
      </c>
      <c r="I510" s="1" t="str">
        <f>VLOOKUP(VolumebyClient[[#This Row],[Date]],Quarters[],3,TRUE)</f>
        <v>Q4 2020</v>
      </c>
    </row>
    <row r="511" spans="1:9" x14ac:dyDescent="0.2">
      <c r="A511" s="2" t="s">
        <v>11</v>
      </c>
      <c r="B511" s="10">
        <v>44377</v>
      </c>
      <c r="C511" s="5">
        <v>261</v>
      </c>
      <c r="D511" s="1">
        <f>LEN(VolumebyClient[[#This Row],[CLID]])</f>
        <v>7</v>
      </c>
      <c r="F511" s="1" t="str">
        <f>INDEX(GeobyClient[GEOID],MATCH(VolumebyClient[[#This Row],[CLID]],GeobyClient[Right],0))</f>
        <v>GEO1004</v>
      </c>
      <c r="G511" s="1" t="str">
        <f>VLOOKUP(VolumebyClient[[#This Row],[Index Match Region ID]],GEONames[[GEOID]:[GEO NAME]],2,FALSE)</f>
        <v>LATAM</v>
      </c>
      <c r="H511" s="1" t="str">
        <f>"Q"&amp;ROUNDUP(MONTH(VolumebyClient[[#This Row],[Date]])/3,0)&amp;" "&amp;YEAR(VolumebyClient[[#This Row],[Date]])</f>
        <v>Q2 2021</v>
      </c>
      <c r="I511" s="1" t="str">
        <f>VLOOKUP(VolumebyClient[[#This Row],[Date]],Quarters[],3,TRUE)</f>
        <v>Q2 2021</v>
      </c>
    </row>
    <row r="512" spans="1:9" x14ac:dyDescent="0.2">
      <c r="A512" s="2" t="s">
        <v>11</v>
      </c>
      <c r="B512" s="10">
        <v>44347</v>
      </c>
      <c r="C512" s="5">
        <v>405</v>
      </c>
      <c r="D512" s="1">
        <f>LEN(VolumebyClient[[#This Row],[CLID]])</f>
        <v>7</v>
      </c>
      <c r="F512" s="1" t="str">
        <f>INDEX(GeobyClient[GEOID],MATCH(VolumebyClient[[#This Row],[CLID]],GeobyClient[Right],0))</f>
        <v>GEO1004</v>
      </c>
      <c r="G512" s="1" t="str">
        <f>VLOOKUP(VolumebyClient[[#This Row],[Index Match Region ID]],GEONames[[GEOID]:[GEO NAME]],2,FALSE)</f>
        <v>LATAM</v>
      </c>
      <c r="H512" s="1" t="str">
        <f>"Q"&amp;ROUNDUP(MONTH(VolumebyClient[[#This Row],[Date]])/3,0)&amp;" "&amp;YEAR(VolumebyClient[[#This Row],[Date]])</f>
        <v>Q2 2021</v>
      </c>
      <c r="I512" s="1" t="str">
        <f>VLOOKUP(VolumebyClient[[#This Row],[Date]],Quarters[],3,TRUE)</f>
        <v>Q2 2021</v>
      </c>
    </row>
    <row r="513" spans="1:9" x14ac:dyDescent="0.2">
      <c r="A513" s="2" t="s">
        <v>11</v>
      </c>
      <c r="B513" s="10">
        <v>44316</v>
      </c>
      <c r="C513" s="5">
        <v>422</v>
      </c>
      <c r="D513" s="1">
        <f>LEN(VolumebyClient[[#This Row],[CLID]])</f>
        <v>7</v>
      </c>
      <c r="F513" s="1" t="str">
        <f>INDEX(GeobyClient[GEOID],MATCH(VolumebyClient[[#This Row],[CLID]],GeobyClient[Right],0))</f>
        <v>GEO1004</v>
      </c>
      <c r="G513" s="1" t="str">
        <f>VLOOKUP(VolumebyClient[[#This Row],[Index Match Region ID]],GEONames[[GEOID]:[GEO NAME]],2,FALSE)</f>
        <v>LATAM</v>
      </c>
      <c r="H513" s="1" t="str">
        <f>"Q"&amp;ROUNDUP(MONTH(VolumebyClient[[#This Row],[Date]])/3,0)&amp;" "&amp;YEAR(VolumebyClient[[#This Row],[Date]])</f>
        <v>Q2 2021</v>
      </c>
      <c r="I513" s="1" t="str">
        <f>VLOOKUP(VolumebyClient[[#This Row],[Date]],Quarters[],3,TRUE)</f>
        <v>Q2 2021</v>
      </c>
    </row>
    <row r="514" spans="1:9" x14ac:dyDescent="0.2">
      <c r="A514" s="2" t="s">
        <v>11</v>
      </c>
      <c r="B514" s="10">
        <v>44286</v>
      </c>
      <c r="C514" s="5">
        <v>390</v>
      </c>
      <c r="D514" s="1">
        <f>LEN(VolumebyClient[[#This Row],[CLID]])</f>
        <v>7</v>
      </c>
      <c r="F514" s="1" t="str">
        <f>INDEX(GeobyClient[GEOID],MATCH(VolumebyClient[[#This Row],[CLID]],GeobyClient[Right],0))</f>
        <v>GEO1004</v>
      </c>
      <c r="G514" s="1" t="str">
        <f>VLOOKUP(VolumebyClient[[#This Row],[Index Match Region ID]],GEONames[[GEOID]:[GEO NAME]],2,FALSE)</f>
        <v>LATAM</v>
      </c>
      <c r="H514" s="1" t="str">
        <f>"Q"&amp;ROUNDUP(MONTH(VolumebyClient[[#This Row],[Date]])/3,0)&amp;" "&amp;YEAR(VolumebyClient[[#This Row],[Date]])</f>
        <v>Q1 2021</v>
      </c>
      <c r="I514" s="1" t="str">
        <f>VLOOKUP(VolumebyClient[[#This Row],[Date]],Quarters[],3,TRUE)</f>
        <v>Q1 2021</v>
      </c>
    </row>
    <row r="515" spans="1:9" x14ac:dyDescent="0.2">
      <c r="A515" s="2" t="s">
        <v>11</v>
      </c>
      <c r="B515" s="10">
        <v>44255</v>
      </c>
      <c r="C515" s="5">
        <v>304</v>
      </c>
      <c r="D515" s="1">
        <f>LEN(VolumebyClient[[#This Row],[CLID]])</f>
        <v>7</v>
      </c>
      <c r="F515" s="1" t="str">
        <f>INDEX(GeobyClient[GEOID],MATCH(VolumebyClient[[#This Row],[CLID]],GeobyClient[Right],0))</f>
        <v>GEO1004</v>
      </c>
      <c r="G515" s="1" t="str">
        <f>VLOOKUP(VolumebyClient[[#This Row],[Index Match Region ID]],GEONames[[GEOID]:[GEO NAME]],2,FALSE)</f>
        <v>LATAM</v>
      </c>
      <c r="H515" s="1" t="str">
        <f>"Q"&amp;ROUNDUP(MONTH(VolumebyClient[[#This Row],[Date]])/3,0)&amp;" "&amp;YEAR(VolumebyClient[[#This Row],[Date]])</f>
        <v>Q1 2021</v>
      </c>
      <c r="I515" s="1" t="str">
        <f>VLOOKUP(VolumebyClient[[#This Row],[Date]],Quarters[],3,TRUE)</f>
        <v>Q1 2021</v>
      </c>
    </row>
    <row r="516" spans="1:9" x14ac:dyDescent="0.2">
      <c r="A516" s="2" t="s">
        <v>11</v>
      </c>
      <c r="B516" s="10">
        <v>44227</v>
      </c>
      <c r="C516" s="5">
        <v>302</v>
      </c>
      <c r="D516" s="1">
        <f>LEN(VolumebyClient[[#This Row],[CLID]])</f>
        <v>7</v>
      </c>
      <c r="F516" s="1" t="str">
        <f>INDEX(GeobyClient[GEOID],MATCH(VolumebyClient[[#This Row],[CLID]],GeobyClient[Right],0))</f>
        <v>GEO1004</v>
      </c>
      <c r="G516" s="1" t="str">
        <f>VLOOKUP(VolumebyClient[[#This Row],[Index Match Region ID]],GEONames[[GEOID]:[GEO NAME]],2,FALSE)</f>
        <v>LATAM</v>
      </c>
      <c r="H516" s="1" t="str">
        <f>"Q"&amp;ROUNDUP(MONTH(VolumebyClient[[#This Row],[Date]])/3,0)&amp;" "&amp;YEAR(VolumebyClient[[#This Row],[Date]])</f>
        <v>Q1 2021</v>
      </c>
      <c r="I516" s="1" t="str">
        <f>VLOOKUP(VolumebyClient[[#This Row],[Date]],Quarters[],3,TRUE)</f>
        <v>Q1 2021</v>
      </c>
    </row>
    <row r="517" spans="1:9" x14ac:dyDescent="0.2">
      <c r="A517" s="2" t="s">
        <v>7</v>
      </c>
      <c r="B517" s="10">
        <v>43861</v>
      </c>
      <c r="C517" s="5">
        <v>30584</v>
      </c>
      <c r="D517" s="1">
        <f>LEN(VolumebyClient[[#This Row],[CLID]])</f>
        <v>7</v>
      </c>
      <c r="F517" s="1" t="str">
        <f>INDEX(GeobyClient[GEOID],MATCH(VolumebyClient[[#This Row],[CLID]],GeobyClient[Right],0))</f>
        <v>GEO1001</v>
      </c>
      <c r="G517" s="1" t="str">
        <f>VLOOKUP(VolumebyClient[[#This Row],[Index Match Region ID]],GEONames[[GEOID]:[GEO NAME]],2,FALSE)</f>
        <v>NAM</v>
      </c>
      <c r="H517" s="1" t="str">
        <f>"Q"&amp;ROUNDUP(MONTH(VolumebyClient[[#This Row],[Date]])/3,0)&amp;" "&amp;YEAR(VolumebyClient[[#This Row],[Date]])</f>
        <v>Q1 2020</v>
      </c>
      <c r="I517" s="1" t="str">
        <f>VLOOKUP(VolumebyClient[[#This Row],[Date]],Quarters[],3,TRUE)</f>
        <v>Q1 2020</v>
      </c>
    </row>
    <row r="518" spans="1:9" x14ac:dyDescent="0.2">
      <c r="A518" s="2" t="s">
        <v>7</v>
      </c>
      <c r="B518" s="10">
        <v>43890</v>
      </c>
      <c r="C518" s="5">
        <v>27186</v>
      </c>
      <c r="D518" s="1">
        <f>LEN(VolumebyClient[[#This Row],[CLID]])</f>
        <v>7</v>
      </c>
      <c r="F518" s="1" t="str">
        <f>INDEX(GeobyClient[GEOID],MATCH(VolumebyClient[[#This Row],[CLID]],GeobyClient[Right],0))</f>
        <v>GEO1001</v>
      </c>
      <c r="G518" s="1" t="str">
        <f>VLOOKUP(VolumebyClient[[#This Row],[Index Match Region ID]],GEONames[[GEOID]:[GEO NAME]],2,FALSE)</f>
        <v>NAM</v>
      </c>
      <c r="H518" s="1" t="str">
        <f>"Q"&amp;ROUNDUP(MONTH(VolumebyClient[[#This Row],[Date]])/3,0)&amp;" "&amp;YEAR(VolumebyClient[[#This Row],[Date]])</f>
        <v>Q1 2020</v>
      </c>
      <c r="I518" s="1" t="str">
        <f>VLOOKUP(VolumebyClient[[#This Row],[Date]],Quarters[],3,TRUE)</f>
        <v>Q1 2020</v>
      </c>
    </row>
    <row r="519" spans="1:9" x14ac:dyDescent="0.2">
      <c r="A519" s="2" t="s">
        <v>7</v>
      </c>
      <c r="B519" s="10">
        <v>43921</v>
      </c>
      <c r="C519" s="5">
        <v>37383</v>
      </c>
      <c r="D519" s="1">
        <f>LEN(VolumebyClient[[#This Row],[CLID]])</f>
        <v>7</v>
      </c>
      <c r="F519" s="1" t="str">
        <f>INDEX(GeobyClient[GEOID],MATCH(VolumebyClient[[#This Row],[CLID]],GeobyClient[Right],0))</f>
        <v>GEO1001</v>
      </c>
      <c r="G519" s="1" t="str">
        <f>VLOOKUP(VolumebyClient[[#This Row],[Index Match Region ID]],GEONames[[GEOID]:[GEO NAME]],2,FALSE)</f>
        <v>NAM</v>
      </c>
      <c r="H519" s="1" t="str">
        <f>"Q"&amp;ROUNDUP(MONTH(VolumebyClient[[#This Row],[Date]])/3,0)&amp;" "&amp;YEAR(VolumebyClient[[#This Row],[Date]])</f>
        <v>Q1 2020</v>
      </c>
      <c r="I519" s="1" t="str">
        <f>VLOOKUP(VolumebyClient[[#This Row],[Date]],Quarters[],3,TRUE)</f>
        <v>Q1 2020</v>
      </c>
    </row>
    <row r="520" spans="1:9" x14ac:dyDescent="0.2">
      <c r="A520" s="2" t="s">
        <v>7</v>
      </c>
      <c r="B520" s="10">
        <v>43951</v>
      </c>
      <c r="C520" s="5">
        <v>37379</v>
      </c>
      <c r="D520" s="1">
        <f>LEN(VolumebyClient[[#This Row],[CLID]])</f>
        <v>7</v>
      </c>
      <c r="F520" s="1" t="str">
        <f>INDEX(GeobyClient[GEOID],MATCH(VolumebyClient[[#This Row],[CLID]],GeobyClient[Right],0))</f>
        <v>GEO1001</v>
      </c>
      <c r="G520" s="1" t="str">
        <f>VLOOKUP(VolumebyClient[[#This Row],[Index Match Region ID]],GEONames[[GEOID]:[GEO NAME]],2,FALSE)</f>
        <v>NAM</v>
      </c>
      <c r="H520" s="1" t="str">
        <f>"Q"&amp;ROUNDUP(MONTH(VolumebyClient[[#This Row],[Date]])/3,0)&amp;" "&amp;YEAR(VolumebyClient[[#This Row],[Date]])</f>
        <v>Q2 2020</v>
      </c>
      <c r="I520" s="1" t="str">
        <f>VLOOKUP(VolumebyClient[[#This Row],[Date]],Quarters[],3,TRUE)</f>
        <v>Q2 2020</v>
      </c>
    </row>
    <row r="521" spans="1:9" x14ac:dyDescent="0.2">
      <c r="A521" s="2" t="s">
        <v>7</v>
      </c>
      <c r="B521" s="10">
        <v>43982</v>
      </c>
      <c r="C521" s="5">
        <v>40779</v>
      </c>
      <c r="D521" s="1">
        <f>LEN(VolumebyClient[[#This Row],[CLID]])</f>
        <v>7</v>
      </c>
      <c r="F521" s="1" t="str">
        <f>INDEX(GeobyClient[GEOID],MATCH(VolumebyClient[[#This Row],[CLID]],GeobyClient[Right],0))</f>
        <v>GEO1001</v>
      </c>
      <c r="G521" s="1" t="str">
        <f>VLOOKUP(VolumebyClient[[#This Row],[Index Match Region ID]],GEONames[[GEOID]:[GEO NAME]],2,FALSE)</f>
        <v>NAM</v>
      </c>
      <c r="H521" s="1" t="str">
        <f>"Q"&amp;ROUNDUP(MONTH(VolumebyClient[[#This Row],[Date]])/3,0)&amp;" "&amp;YEAR(VolumebyClient[[#This Row],[Date]])</f>
        <v>Q2 2020</v>
      </c>
      <c r="I521" s="1" t="str">
        <f>VLOOKUP(VolumebyClient[[#This Row],[Date]],Quarters[],3,TRUE)</f>
        <v>Q2 2020</v>
      </c>
    </row>
    <row r="522" spans="1:9" x14ac:dyDescent="0.2">
      <c r="A522" s="2" t="s">
        <v>7</v>
      </c>
      <c r="B522" s="10">
        <v>44012</v>
      </c>
      <c r="C522" s="5">
        <v>23788</v>
      </c>
      <c r="D522" s="1">
        <f>LEN(VolumebyClient[[#This Row],[CLID]])</f>
        <v>7</v>
      </c>
      <c r="F522" s="1" t="str">
        <f>INDEX(GeobyClient[GEOID],MATCH(VolumebyClient[[#This Row],[CLID]],GeobyClient[Right],0))</f>
        <v>GEO1001</v>
      </c>
      <c r="G522" s="1" t="str">
        <f>VLOOKUP(VolumebyClient[[#This Row],[Index Match Region ID]],GEONames[[GEOID]:[GEO NAME]],2,FALSE)</f>
        <v>NAM</v>
      </c>
      <c r="H522" s="1" t="str">
        <f>"Q"&amp;ROUNDUP(MONTH(VolumebyClient[[#This Row],[Date]])/3,0)&amp;" "&amp;YEAR(VolumebyClient[[#This Row],[Date]])</f>
        <v>Q2 2020</v>
      </c>
      <c r="I522" s="1" t="str">
        <f>VLOOKUP(VolumebyClient[[#This Row],[Date]],Quarters[],3,TRUE)</f>
        <v>Q2 2020</v>
      </c>
    </row>
    <row r="523" spans="1:9" x14ac:dyDescent="0.2">
      <c r="A523" s="2" t="s">
        <v>7</v>
      </c>
      <c r="B523" s="10">
        <v>44043</v>
      </c>
      <c r="C523" s="5">
        <v>27188</v>
      </c>
      <c r="D523" s="1">
        <f>LEN(VolumebyClient[[#This Row],[CLID]])</f>
        <v>7</v>
      </c>
      <c r="F523" s="1" t="str">
        <f>INDEX(GeobyClient[GEOID],MATCH(VolumebyClient[[#This Row],[CLID]],GeobyClient[Right],0))</f>
        <v>GEO1001</v>
      </c>
      <c r="G523" s="1" t="str">
        <f>VLOOKUP(VolumebyClient[[#This Row],[Index Match Region ID]],GEONames[[GEOID]:[GEO NAME]],2,FALSE)</f>
        <v>NAM</v>
      </c>
      <c r="H523" s="1" t="str">
        <f>"Q"&amp;ROUNDUP(MONTH(VolumebyClient[[#This Row],[Date]])/3,0)&amp;" "&amp;YEAR(VolumebyClient[[#This Row],[Date]])</f>
        <v>Q3 2020</v>
      </c>
      <c r="I523" s="1" t="str">
        <f>VLOOKUP(VolumebyClient[[#This Row],[Date]],Quarters[],3,TRUE)</f>
        <v>Q3 2020</v>
      </c>
    </row>
    <row r="524" spans="1:9" x14ac:dyDescent="0.2">
      <c r="A524" s="2" t="s">
        <v>7</v>
      </c>
      <c r="B524" s="10">
        <v>44074</v>
      </c>
      <c r="C524" s="5">
        <v>16996</v>
      </c>
      <c r="D524" s="1">
        <f>LEN(VolumebyClient[[#This Row],[CLID]])</f>
        <v>7</v>
      </c>
      <c r="F524" s="1" t="str">
        <f>INDEX(GeobyClient[GEOID],MATCH(VolumebyClient[[#This Row],[CLID]],GeobyClient[Right],0))</f>
        <v>GEO1001</v>
      </c>
      <c r="G524" s="1" t="str">
        <f>VLOOKUP(VolumebyClient[[#This Row],[Index Match Region ID]],GEONames[[GEOID]:[GEO NAME]],2,FALSE)</f>
        <v>NAM</v>
      </c>
      <c r="H524" s="1" t="str">
        <f>"Q"&amp;ROUNDUP(MONTH(VolumebyClient[[#This Row],[Date]])/3,0)&amp;" "&amp;YEAR(VolumebyClient[[#This Row],[Date]])</f>
        <v>Q3 2020</v>
      </c>
      <c r="I524" s="1" t="str">
        <f>VLOOKUP(VolumebyClient[[#This Row],[Date]],Quarters[],3,TRUE)</f>
        <v>Q3 2020</v>
      </c>
    </row>
    <row r="525" spans="1:9" x14ac:dyDescent="0.2">
      <c r="A525" s="2" t="s">
        <v>7</v>
      </c>
      <c r="B525" s="10">
        <v>44104</v>
      </c>
      <c r="C525" s="5">
        <v>23792</v>
      </c>
      <c r="D525" s="1">
        <f>LEN(VolumebyClient[[#This Row],[CLID]])</f>
        <v>7</v>
      </c>
      <c r="F525" s="1" t="str">
        <f>INDEX(GeobyClient[GEOID],MATCH(VolumebyClient[[#This Row],[CLID]],GeobyClient[Right],0))</f>
        <v>GEO1001</v>
      </c>
      <c r="G525" s="1" t="str">
        <f>VLOOKUP(VolumebyClient[[#This Row],[Index Match Region ID]],GEONames[[GEOID]:[GEO NAME]],2,FALSE)</f>
        <v>NAM</v>
      </c>
      <c r="H525" s="1" t="str">
        <f>"Q"&amp;ROUNDUP(MONTH(VolumebyClient[[#This Row],[Date]])/3,0)&amp;" "&amp;YEAR(VolumebyClient[[#This Row],[Date]])</f>
        <v>Q3 2020</v>
      </c>
      <c r="I525" s="1" t="str">
        <f>VLOOKUP(VolumebyClient[[#This Row],[Date]],Quarters[],3,TRUE)</f>
        <v>Q3 2020</v>
      </c>
    </row>
    <row r="526" spans="1:9" x14ac:dyDescent="0.2">
      <c r="A526" s="2" t="s">
        <v>7</v>
      </c>
      <c r="B526" s="10">
        <v>44135</v>
      </c>
      <c r="C526" s="5">
        <v>20390</v>
      </c>
      <c r="D526" s="1">
        <f>LEN(VolumebyClient[[#This Row],[CLID]])</f>
        <v>7</v>
      </c>
      <c r="F526" s="1" t="str">
        <f>INDEX(GeobyClient[GEOID],MATCH(VolumebyClient[[#This Row],[CLID]],GeobyClient[Right],0))</f>
        <v>GEO1001</v>
      </c>
      <c r="G526" s="1" t="str">
        <f>VLOOKUP(VolumebyClient[[#This Row],[Index Match Region ID]],GEONames[[GEOID]:[GEO NAME]],2,FALSE)</f>
        <v>NAM</v>
      </c>
      <c r="H526" s="1" t="str">
        <f>"Q"&amp;ROUNDUP(MONTH(VolumebyClient[[#This Row],[Date]])/3,0)&amp;" "&amp;YEAR(VolumebyClient[[#This Row],[Date]])</f>
        <v>Q4 2020</v>
      </c>
      <c r="I526" s="1" t="str">
        <f>VLOOKUP(VolumebyClient[[#This Row],[Date]],Quarters[],3,TRUE)</f>
        <v>Q4 2020</v>
      </c>
    </row>
    <row r="527" spans="1:9" x14ac:dyDescent="0.2">
      <c r="A527" s="2" t="s">
        <v>7</v>
      </c>
      <c r="B527" s="10">
        <v>44165</v>
      </c>
      <c r="C527" s="5">
        <v>30586</v>
      </c>
      <c r="D527" s="1">
        <f>LEN(VolumebyClient[[#This Row],[CLID]])</f>
        <v>7</v>
      </c>
      <c r="F527" s="1" t="str">
        <f>INDEX(GeobyClient[GEOID],MATCH(VolumebyClient[[#This Row],[CLID]],GeobyClient[Right],0))</f>
        <v>GEO1001</v>
      </c>
      <c r="G527" s="1" t="str">
        <f>VLOOKUP(VolumebyClient[[#This Row],[Index Match Region ID]],GEONames[[GEOID]:[GEO NAME]],2,FALSE)</f>
        <v>NAM</v>
      </c>
      <c r="H527" s="1" t="str">
        <f>"Q"&amp;ROUNDUP(MONTH(VolumebyClient[[#This Row],[Date]])/3,0)&amp;" "&amp;YEAR(VolumebyClient[[#This Row],[Date]])</f>
        <v>Q4 2020</v>
      </c>
      <c r="I527" s="1" t="str">
        <f>VLOOKUP(VolumebyClient[[#This Row],[Date]],Quarters[],3,TRUE)</f>
        <v>Q4 2020</v>
      </c>
    </row>
    <row r="528" spans="1:9" x14ac:dyDescent="0.2">
      <c r="A528" s="2" t="s">
        <v>7</v>
      </c>
      <c r="B528" s="10">
        <v>44196</v>
      </c>
      <c r="C528" s="5">
        <v>23787</v>
      </c>
      <c r="D528" s="1">
        <f>LEN(VolumebyClient[[#This Row],[CLID]])</f>
        <v>7</v>
      </c>
      <c r="F528" s="1" t="str">
        <f>INDEX(GeobyClient[GEOID],MATCH(VolumebyClient[[#This Row],[CLID]],GeobyClient[Right],0))</f>
        <v>GEO1001</v>
      </c>
      <c r="G528" s="1" t="str">
        <f>VLOOKUP(VolumebyClient[[#This Row],[Index Match Region ID]],GEONames[[GEOID]:[GEO NAME]],2,FALSE)</f>
        <v>NAM</v>
      </c>
      <c r="H528" s="1" t="str">
        <f>"Q"&amp;ROUNDUP(MONTH(VolumebyClient[[#This Row],[Date]])/3,0)&amp;" "&amp;YEAR(VolumebyClient[[#This Row],[Date]])</f>
        <v>Q4 2020</v>
      </c>
      <c r="I528" s="1" t="str">
        <f>VLOOKUP(VolumebyClient[[#This Row],[Date]],Quarters[],3,TRUE)</f>
        <v>Q4 2020</v>
      </c>
    </row>
    <row r="529" spans="1:9" x14ac:dyDescent="0.2">
      <c r="A529" s="2" t="s">
        <v>7</v>
      </c>
      <c r="B529" s="10">
        <v>44377</v>
      </c>
      <c r="C529" s="5">
        <v>24737</v>
      </c>
      <c r="D529" s="1">
        <f>LEN(VolumebyClient[[#This Row],[CLID]])</f>
        <v>7</v>
      </c>
      <c r="F529" s="1" t="str">
        <f>INDEX(GeobyClient[GEOID],MATCH(VolumebyClient[[#This Row],[CLID]],GeobyClient[Right],0))</f>
        <v>GEO1001</v>
      </c>
      <c r="G529" s="1" t="str">
        <f>VLOOKUP(VolumebyClient[[#This Row],[Index Match Region ID]],GEONames[[GEOID]:[GEO NAME]],2,FALSE)</f>
        <v>NAM</v>
      </c>
      <c r="H529" s="1" t="str">
        <f>"Q"&amp;ROUNDUP(MONTH(VolumebyClient[[#This Row],[Date]])/3,0)&amp;" "&amp;YEAR(VolumebyClient[[#This Row],[Date]])</f>
        <v>Q2 2021</v>
      </c>
      <c r="I529" s="1" t="str">
        <f>VLOOKUP(VolumebyClient[[#This Row],[Date]],Quarters[],3,TRUE)</f>
        <v>Q2 2021</v>
      </c>
    </row>
    <row r="530" spans="1:9" x14ac:dyDescent="0.2">
      <c r="A530" s="2" t="s">
        <v>7</v>
      </c>
      <c r="B530" s="10">
        <v>44347</v>
      </c>
      <c r="C530" s="5">
        <v>41598</v>
      </c>
      <c r="D530" s="1">
        <f>LEN(VolumebyClient[[#This Row],[CLID]])</f>
        <v>7</v>
      </c>
      <c r="F530" s="1" t="str">
        <f>INDEX(GeobyClient[GEOID],MATCH(VolumebyClient[[#This Row],[CLID]],GeobyClient[Right],0))</f>
        <v>GEO1001</v>
      </c>
      <c r="G530" s="1" t="str">
        <f>VLOOKUP(VolumebyClient[[#This Row],[Index Match Region ID]],GEONames[[GEOID]:[GEO NAME]],2,FALSE)</f>
        <v>NAM</v>
      </c>
      <c r="H530" s="1" t="str">
        <f>"Q"&amp;ROUNDUP(MONTH(VolumebyClient[[#This Row],[Date]])/3,0)&amp;" "&amp;YEAR(VolumebyClient[[#This Row],[Date]])</f>
        <v>Q2 2021</v>
      </c>
      <c r="I530" s="1" t="str">
        <f>VLOOKUP(VolumebyClient[[#This Row],[Date]],Quarters[],3,TRUE)</f>
        <v>Q2 2021</v>
      </c>
    </row>
    <row r="531" spans="1:9" x14ac:dyDescent="0.2">
      <c r="A531" s="2" t="s">
        <v>7</v>
      </c>
      <c r="B531" s="10">
        <v>44316</v>
      </c>
      <c r="C531" s="5">
        <v>38878</v>
      </c>
      <c r="D531" s="1">
        <f>LEN(VolumebyClient[[#This Row],[CLID]])</f>
        <v>7</v>
      </c>
      <c r="F531" s="1" t="str">
        <f>INDEX(GeobyClient[GEOID],MATCH(VolumebyClient[[#This Row],[CLID]],GeobyClient[Right],0))</f>
        <v>GEO1001</v>
      </c>
      <c r="G531" s="1" t="str">
        <f>VLOOKUP(VolumebyClient[[#This Row],[Index Match Region ID]],GEONames[[GEOID]:[GEO NAME]],2,FALSE)</f>
        <v>NAM</v>
      </c>
      <c r="H531" s="1" t="str">
        <f>"Q"&amp;ROUNDUP(MONTH(VolumebyClient[[#This Row],[Date]])/3,0)&amp;" "&amp;YEAR(VolumebyClient[[#This Row],[Date]])</f>
        <v>Q2 2021</v>
      </c>
      <c r="I531" s="1" t="str">
        <f>VLOOKUP(VolumebyClient[[#This Row],[Date]],Quarters[],3,TRUE)</f>
        <v>Q2 2021</v>
      </c>
    </row>
    <row r="532" spans="1:9" x14ac:dyDescent="0.2">
      <c r="A532" s="2" t="s">
        <v>7</v>
      </c>
      <c r="B532" s="10">
        <v>44286</v>
      </c>
      <c r="C532" s="5">
        <v>39253</v>
      </c>
      <c r="D532" s="1">
        <f>LEN(VolumebyClient[[#This Row],[CLID]])</f>
        <v>7</v>
      </c>
      <c r="F532" s="1" t="str">
        <f>INDEX(GeobyClient[GEOID],MATCH(VolumebyClient[[#This Row],[CLID]],GeobyClient[Right],0))</f>
        <v>GEO1001</v>
      </c>
      <c r="G532" s="1" t="str">
        <f>VLOOKUP(VolumebyClient[[#This Row],[Index Match Region ID]],GEONames[[GEOID]:[GEO NAME]],2,FALSE)</f>
        <v>NAM</v>
      </c>
      <c r="H532" s="1" t="str">
        <f>"Q"&amp;ROUNDUP(MONTH(VolumebyClient[[#This Row],[Date]])/3,0)&amp;" "&amp;YEAR(VolumebyClient[[#This Row],[Date]])</f>
        <v>Q1 2021</v>
      </c>
      <c r="I532" s="1" t="str">
        <f>VLOOKUP(VolumebyClient[[#This Row],[Date]],Quarters[],3,TRUE)</f>
        <v>Q1 2021</v>
      </c>
    </row>
    <row r="533" spans="1:9" x14ac:dyDescent="0.2">
      <c r="A533" s="2" t="s">
        <v>7</v>
      </c>
      <c r="B533" s="10">
        <v>44255</v>
      </c>
      <c r="C533" s="5">
        <v>27048</v>
      </c>
      <c r="D533" s="1">
        <f>LEN(VolumebyClient[[#This Row],[CLID]])</f>
        <v>7</v>
      </c>
      <c r="F533" s="1" t="str">
        <f>INDEX(GeobyClient[GEOID],MATCH(VolumebyClient[[#This Row],[CLID]],GeobyClient[Right],0))</f>
        <v>GEO1001</v>
      </c>
      <c r="G533" s="1" t="str">
        <f>VLOOKUP(VolumebyClient[[#This Row],[Index Match Region ID]],GEONames[[GEOID]:[GEO NAME]],2,FALSE)</f>
        <v>NAM</v>
      </c>
      <c r="H533" s="1" t="str">
        <f>"Q"&amp;ROUNDUP(MONTH(VolumebyClient[[#This Row],[Date]])/3,0)&amp;" "&amp;YEAR(VolumebyClient[[#This Row],[Date]])</f>
        <v>Q1 2021</v>
      </c>
      <c r="I533" s="1" t="str">
        <f>VLOOKUP(VolumebyClient[[#This Row],[Date]],Quarters[],3,TRUE)</f>
        <v>Q1 2021</v>
      </c>
    </row>
    <row r="534" spans="1:9" x14ac:dyDescent="0.2">
      <c r="A534" s="2" t="s">
        <v>7</v>
      </c>
      <c r="B534" s="10">
        <v>44227</v>
      </c>
      <c r="C534" s="5">
        <v>32111</v>
      </c>
      <c r="D534" s="1">
        <f>LEN(VolumebyClient[[#This Row],[CLID]])</f>
        <v>7</v>
      </c>
      <c r="F534" s="1" t="str">
        <f>INDEX(GeobyClient[GEOID],MATCH(VolumebyClient[[#This Row],[CLID]],GeobyClient[Right],0))</f>
        <v>GEO1001</v>
      </c>
      <c r="G534" s="1" t="str">
        <f>VLOOKUP(VolumebyClient[[#This Row],[Index Match Region ID]],GEONames[[GEOID]:[GEO NAME]],2,FALSE)</f>
        <v>NAM</v>
      </c>
      <c r="H534" s="1" t="str">
        <f>"Q"&amp;ROUNDUP(MONTH(VolumebyClient[[#This Row],[Date]])/3,0)&amp;" "&amp;YEAR(VolumebyClient[[#This Row],[Date]])</f>
        <v>Q1 2021</v>
      </c>
      <c r="I534" s="1" t="str">
        <f>VLOOKUP(VolumebyClient[[#This Row],[Date]],Quarters[],3,TRUE)</f>
        <v>Q1 2021</v>
      </c>
    </row>
    <row r="535" spans="1:9" x14ac:dyDescent="0.2">
      <c r="A535" s="2" t="s">
        <v>31</v>
      </c>
      <c r="B535" s="10">
        <v>43861</v>
      </c>
      <c r="C535" s="5">
        <v>866</v>
      </c>
      <c r="D535" s="1">
        <f>LEN(VolumebyClient[[#This Row],[CLID]])</f>
        <v>7</v>
      </c>
      <c r="F535" s="1" t="str">
        <f>INDEX(GeobyClient[GEOID],MATCH(VolumebyClient[[#This Row],[CLID]],GeobyClient[Right],0))</f>
        <v>GEO1003</v>
      </c>
      <c r="G535" s="1" t="str">
        <f>VLOOKUP(VolumebyClient[[#This Row],[Index Match Region ID]],GEONames[[GEOID]:[GEO NAME]],2,FALSE)</f>
        <v>EMEA</v>
      </c>
      <c r="H535" s="1" t="str">
        <f>"Q"&amp;ROUNDUP(MONTH(VolumebyClient[[#This Row],[Date]])/3,0)&amp;" "&amp;YEAR(VolumebyClient[[#This Row],[Date]])</f>
        <v>Q1 2020</v>
      </c>
      <c r="I535" s="1" t="str">
        <f>VLOOKUP(VolumebyClient[[#This Row],[Date]],Quarters[],3,TRUE)</f>
        <v>Q1 2020</v>
      </c>
    </row>
    <row r="536" spans="1:9" x14ac:dyDescent="0.2">
      <c r="A536" s="2" t="s">
        <v>31</v>
      </c>
      <c r="B536" s="10">
        <v>43890</v>
      </c>
      <c r="C536" s="5">
        <v>1101</v>
      </c>
      <c r="D536" s="1">
        <f>LEN(VolumebyClient[[#This Row],[CLID]])</f>
        <v>7</v>
      </c>
      <c r="F536" s="1" t="str">
        <f>INDEX(GeobyClient[GEOID],MATCH(VolumebyClient[[#This Row],[CLID]],GeobyClient[Right],0))</f>
        <v>GEO1003</v>
      </c>
      <c r="G536" s="1" t="str">
        <f>VLOOKUP(VolumebyClient[[#This Row],[Index Match Region ID]],GEONames[[GEOID]:[GEO NAME]],2,FALSE)</f>
        <v>EMEA</v>
      </c>
      <c r="H536" s="1" t="str">
        <f>"Q"&amp;ROUNDUP(MONTH(VolumebyClient[[#This Row],[Date]])/3,0)&amp;" "&amp;YEAR(VolumebyClient[[#This Row],[Date]])</f>
        <v>Q1 2020</v>
      </c>
      <c r="I536" s="1" t="str">
        <f>VLOOKUP(VolumebyClient[[#This Row],[Date]],Quarters[],3,TRUE)</f>
        <v>Q1 2020</v>
      </c>
    </row>
    <row r="537" spans="1:9" x14ac:dyDescent="0.2">
      <c r="A537" s="2" t="s">
        <v>31</v>
      </c>
      <c r="B537" s="10">
        <v>43921</v>
      </c>
      <c r="C537" s="5">
        <v>1103</v>
      </c>
      <c r="D537" s="1">
        <f>LEN(VolumebyClient[[#This Row],[CLID]])</f>
        <v>7</v>
      </c>
      <c r="F537" s="1" t="str">
        <f>INDEX(GeobyClient[GEOID],MATCH(VolumebyClient[[#This Row],[CLID]],GeobyClient[Right],0))</f>
        <v>GEO1003</v>
      </c>
      <c r="G537" s="1" t="str">
        <f>VLOOKUP(VolumebyClient[[#This Row],[Index Match Region ID]],GEONames[[GEOID]:[GEO NAME]],2,FALSE)</f>
        <v>EMEA</v>
      </c>
      <c r="H537" s="1" t="str">
        <f>"Q"&amp;ROUNDUP(MONTH(VolumebyClient[[#This Row],[Date]])/3,0)&amp;" "&amp;YEAR(VolumebyClient[[#This Row],[Date]])</f>
        <v>Q1 2020</v>
      </c>
      <c r="I537" s="1" t="str">
        <f>VLOOKUP(VolumebyClient[[#This Row],[Date]],Quarters[],3,TRUE)</f>
        <v>Q1 2020</v>
      </c>
    </row>
    <row r="538" spans="1:9" x14ac:dyDescent="0.2">
      <c r="A538" s="2" t="s">
        <v>31</v>
      </c>
      <c r="B538" s="10">
        <v>43951</v>
      </c>
      <c r="C538" s="5">
        <v>1447</v>
      </c>
      <c r="D538" s="1">
        <f>LEN(VolumebyClient[[#This Row],[CLID]])</f>
        <v>7</v>
      </c>
      <c r="F538" s="1" t="str">
        <f>INDEX(GeobyClient[GEOID],MATCH(VolumebyClient[[#This Row],[CLID]],GeobyClient[Right],0))</f>
        <v>GEO1003</v>
      </c>
      <c r="G538" s="1" t="str">
        <f>VLOOKUP(VolumebyClient[[#This Row],[Index Match Region ID]],GEONames[[GEOID]:[GEO NAME]],2,FALSE)</f>
        <v>EMEA</v>
      </c>
      <c r="H538" s="1" t="str">
        <f>"Q"&amp;ROUNDUP(MONTH(VolumebyClient[[#This Row],[Date]])/3,0)&amp;" "&amp;YEAR(VolumebyClient[[#This Row],[Date]])</f>
        <v>Q2 2020</v>
      </c>
      <c r="I538" s="1" t="str">
        <f>VLOOKUP(VolumebyClient[[#This Row],[Date]],Quarters[],3,TRUE)</f>
        <v>Q2 2020</v>
      </c>
    </row>
    <row r="539" spans="1:9" x14ac:dyDescent="0.2">
      <c r="A539" s="2" t="s">
        <v>31</v>
      </c>
      <c r="B539" s="10">
        <v>43982</v>
      </c>
      <c r="C539" s="5">
        <v>1213</v>
      </c>
      <c r="D539" s="1">
        <f>LEN(VolumebyClient[[#This Row],[CLID]])</f>
        <v>7</v>
      </c>
      <c r="F539" s="1" t="str">
        <f>INDEX(GeobyClient[GEOID],MATCH(VolumebyClient[[#This Row],[CLID]],GeobyClient[Right],0))</f>
        <v>GEO1003</v>
      </c>
      <c r="G539" s="1" t="str">
        <f>VLOOKUP(VolumebyClient[[#This Row],[Index Match Region ID]],GEONames[[GEOID]:[GEO NAME]],2,FALSE)</f>
        <v>EMEA</v>
      </c>
      <c r="H539" s="1" t="str">
        <f>"Q"&amp;ROUNDUP(MONTH(VolumebyClient[[#This Row],[Date]])/3,0)&amp;" "&amp;YEAR(VolumebyClient[[#This Row],[Date]])</f>
        <v>Q2 2020</v>
      </c>
      <c r="I539" s="1" t="str">
        <f>VLOOKUP(VolumebyClient[[#This Row],[Date]],Quarters[],3,TRUE)</f>
        <v>Q2 2020</v>
      </c>
    </row>
    <row r="540" spans="1:9" x14ac:dyDescent="0.2">
      <c r="A540" s="2" t="s">
        <v>31</v>
      </c>
      <c r="B540" s="10">
        <v>44012</v>
      </c>
      <c r="C540" s="5">
        <v>988</v>
      </c>
      <c r="D540" s="1">
        <f>LEN(VolumebyClient[[#This Row],[CLID]])</f>
        <v>7</v>
      </c>
      <c r="F540" s="1" t="str">
        <f>INDEX(GeobyClient[GEOID],MATCH(VolumebyClient[[#This Row],[CLID]],GeobyClient[Right],0))</f>
        <v>GEO1003</v>
      </c>
      <c r="G540" s="1" t="str">
        <f>VLOOKUP(VolumebyClient[[#This Row],[Index Match Region ID]],GEONames[[GEOID]:[GEO NAME]],2,FALSE)</f>
        <v>EMEA</v>
      </c>
      <c r="H540" s="1" t="str">
        <f>"Q"&amp;ROUNDUP(MONTH(VolumebyClient[[#This Row],[Date]])/3,0)&amp;" "&amp;YEAR(VolumebyClient[[#This Row],[Date]])</f>
        <v>Q2 2020</v>
      </c>
      <c r="I540" s="1" t="str">
        <f>VLOOKUP(VolumebyClient[[#This Row],[Date]],Quarters[],3,TRUE)</f>
        <v>Q2 2020</v>
      </c>
    </row>
    <row r="541" spans="1:9" x14ac:dyDescent="0.2">
      <c r="A541" s="2" t="s">
        <v>31</v>
      </c>
      <c r="B541" s="10">
        <v>44043</v>
      </c>
      <c r="C541" s="5">
        <v>752</v>
      </c>
      <c r="D541" s="1">
        <f>LEN(VolumebyClient[[#This Row],[CLID]])</f>
        <v>7</v>
      </c>
      <c r="F541" s="1" t="str">
        <f>INDEX(GeobyClient[GEOID],MATCH(VolumebyClient[[#This Row],[CLID]],GeobyClient[Right],0))</f>
        <v>GEO1003</v>
      </c>
      <c r="G541" s="1" t="str">
        <f>VLOOKUP(VolumebyClient[[#This Row],[Index Match Region ID]],GEONames[[GEOID]:[GEO NAME]],2,FALSE)</f>
        <v>EMEA</v>
      </c>
      <c r="H541" s="1" t="str">
        <f>"Q"&amp;ROUNDUP(MONTH(VolumebyClient[[#This Row],[Date]])/3,0)&amp;" "&amp;YEAR(VolumebyClient[[#This Row],[Date]])</f>
        <v>Q3 2020</v>
      </c>
      <c r="I541" s="1" t="str">
        <f>VLOOKUP(VolumebyClient[[#This Row],[Date]],Quarters[],3,TRUE)</f>
        <v>Q3 2020</v>
      </c>
    </row>
    <row r="542" spans="1:9" x14ac:dyDescent="0.2">
      <c r="A542" s="2" t="s">
        <v>31</v>
      </c>
      <c r="B542" s="10">
        <v>44074</v>
      </c>
      <c r="C542" s="5">
        <v>756</v>
      </c>
      <c r="D542" s="1">
        <f>LEN(VolumebyClient[[#This Row],[CLID]])</f>
        <v>7</v>
      </c>
      <c r="F542" s="1" t="str">
        <f>INDEX(GeobyClient[GEOID],MATCH(VolumebyClient[[#This Row],[CLID]],GeobyClient[Right],0))</f>
        <v>GEO1003</v>
      </c>
      <c r="G542" s="1" t="str">
        <f>VLOOKUP(VolumebyClient[[#This Row],[Index Match Region ID]],GEONames[[GEOID]:[GEO NAME]],2,FALSE)</f>
        <v>EMEA</v>
      </c>
      <c r="H542" s="1" t="str">
        <f>"Q"&amp;ROUNDUP(MONTH(VolumebyClient[[#This Row],[Date]])/3,0)&amp;" "&amp;YEAR(VolumebyClient[[#This Row],[Date]])</f>
        <v>Q3 2020</v>
      </c>
      <c r="I542" s="1" t="str">
        <f>VLOOKUP(VolumebyClient[[#This Row],[Date]],Quarters[],3,TRUE)</f>
        <v>Q3 2020</v>
      </c>
    </row>
    <row r="543" spans="1:9" x14ac:dyDescent="0.2">
      <c r="A543" s="2" t="s">
        <v>31</v>
      </c>
      <c r="B543" s="10">
        <v>44104</v>
      </c>
      <c r="C543" s="5">
        <v>641</v>
      </c>
      <c r="D543" s="1">
        <f>LEN(VolumebyClient[[#This Row],[CLID]])</f>
        <v>7</v>
      </c>
      <c r="F543" s="1" t="str">
        <f>INDEX(GeobyClient[GEOID],MATCH(VolumebyClient[[#This Row],[CLID]],GeobyClient[Right],0))</f>
        <v>GEO1003</v>
      </c>
      <c r="G543" s="1" t="str">
        <f>VLOOKUP(VolumebyClient[[#This Row],[Index Match Region ID]],GEONames[[GEOID]:[GEO NAME]],2,FALSE)</f>
        <v>EMEA</v>
      </c>
      <c r="H543" s="1" t="str">
        <f>"Q"&amp;ROUNDUP(MONTH(VolumebyClient[[#This Row],[Date]])/3,0)&amp;" "&amp;YEAR(VolumebyClient[[#This Row],[Date]])</f>
        <v>Q3 2020</v>
      </c>
      <c r="I543" s="1" t="str">
        <f>VLOOKUP(VolumebyClient[[#This Row],[Date]],Quarters[],3,TRUE)</f>
        <v>Q3 2020</v>
      </c>
    </row>
    <row r="544" spans="1:9" x14ac:dyDescent="0.2">
      <c r="A544" s="2" t="s">
        <v>31</v>
      </c>
      <c r="B544" s="10">
        <v>44135</v>
      </c>
      <c r="C544" s="5">
        <v>867</v>
      </c>
      <c r="D544" s="1">
        <f>LEN(VolumebyClient[[#This Row],[CLID]])</f>
        <v>7</v>
      </c>
      <c r="F544" s="1" t="str">
        <f>INDEX(GeobyClient[GEOID],MATCH(VolumebyClient[[#This Row],[CLID]],GeobyClient[Right],0))</f>
        <v>GEO1003</v>
      </c>
      <c r="G544" s="1" t="str">
        <f>VLOOKUP(VolumebyClient[[#This Row],[Index Match Region ID]],GEONames[[GEOID]:[GEO NAME]],2,FALSE)</f>
        <v>EMEA</v>
      </c>
      <c r="H544" s="1" t="str">
        <f>"Q"&amp;ROUNDUP(MONTH(VolumebyClient[[#This Row],[Date]])/3,0)&amp;" "&amp;YEAR(VolumebyClient[[#This Row],[Date]])</f>
        <v>Q4 2020</v>
      </c>
      <c r="I544" s="1" t="str">
        <f>VLOOKUP(VolumebyClient[[#This Row],[Date]],Quarters[],3,TRUE)</f>
        <v>Q4 2020</v>
      </c>
    </row>
    <row r="545" spans="1:9" x14ac:dyDescent="0.2">
      <c r="A545" s="2" t="s">
        <v>31</v>
      </c>
      <c r="B545" s="10">
        <v>44165</v>
      </c>
      <c r="C545" s="5">
        <v>866</v>
      </c>
      <c r="D545" s="1">
        <f>LEN(VolumebyClient[[#This Row],[CLID]])</f>
        <v>7</v>
      </c>
      <c r="F545" s="1" t="str">
        <f>INDEX(GeobyClient[GEOID],MATCH(VolumebyClient[[#This Row],[CLID]],GeobyClient[Right],0))</f>
        <v>GEO1003</v>
      </c>
      <c r="G545" s="1" t="str">
        <f>VLOOKUP(VolumebyClient[[#This Row],[Index Match Region ID]],GEONames[[GEOID]:[GEO NAME]],2,FALSE)</f>
        <v>EMEA</v>
      </c>
      <c r="H545" s="1" t="str">
        <f>"Q"&amp;ROUNDUP(MONTH(VolumebyClient[[#This Row],[Date]])/3,0)&amp;" "&amp;YEAR(VolumebyClient[[#This Row],[Date]])</f>
        <v>Q4 2020</v>
      </c>
      <c r="I545" s="1" t="str">
        <f>VLOOKUP(VolumebyClient[[#This Row],[Date]],Quarters[],3,TRUE)</f>
        <v>Q4 2020</v>
      </c>
    </row>
    <row r="546" spans="1:9" x14ac:dyDescent="0.2">
      <c r="A546" s="2" t="s">
        <v>31</v>
      </c>
      <c r="B546" s="10">
        <v>44196</v>
      </c>
      <c r="C546" s="5">
        <v>986</v>
      </c>
      <c r="D546" s="1">
        <f>LEN(VolumebyClient[[#This Row],[CLID]])</f>
        <v>7</v>
      </c>
      <c r="F546" s="1" t="str">
        <f>INDEX(GeobyClient[GEOID],MATCH(VolumebyClient[[#This Row],[CLID]],GeobyClient[Right],0))</f>
        <v>GEO1003</v>
      </c>
      <c r="G546" s="1" t="str">
        <f>VLOOKUP(VolumebyClient[[#This Row],[Index Match Region ID]],GEONames[[GEOID]:[GEO NAME]],2,FALSE)</f>
        <v>EMEA</v>
      </c>
      <c r="H546" s="1" t="str">
        <f>"Q"&amp;ROUNDUP(MONTH(VolumebyClient[[#This Row],[Date]])/3,0)&amp;" "&amp;YEAR(VolumebyClient[[#This Row],[Date]])</f>
        <v>Q4 2020</v>
      </c>
      <c r="I546" s="1" t="str">
        <f>VLOOKUP(VolumebyClient[[#This Row],[Date]],Quarters[],3,TRUE)</f>
        <v>Q4 2020</v>
      </c>
    </row>
    <row r="547" spans="1:9" x14ac:dyDescent="0.2">
      <c r="A547" s="2" t="s">
        <v>31</v>
      </c>
      <c r="B547" s="10">
        <v>44377</v>
      </c>
      <c r="C547" s="5">
        <v>997</v>
      </c>
      <c r="D547" s="1">
        <f>LEN(VolumebyClient[[#This Row],[CLID]])</f>
        <v>7</v>
      </c>
      <c r="F547" s="1" t="str">
        <f>INDEX(GeobyClient[GEOID],MATCH(VolumebyClient[[#This Row],[CLID]],GeobyClient[Right],0))</f>
        <v>GEO1003</v>
      </c>
      <c r="G547" s="1" t="str">
        <f>VLOOKUP(VolumebyClient[[#This Row],[Index Match Region ID]],GEONames[[GEOID]:[GEO NAME]],2,FALSE)</f>
        <v>EMEA</v>
      </c>
      <c r="H547" s="1" t="str">
        <f>"Q"&amp;ROUNDUP(MONTH(VolumebyClient[[#This Row],[Date]])/3,0)&amp;" "&amp;YEAR(VolumebyClient[[#This Row],[Date]])</f>
        <v>Q2 2021</v>
      </c>
      <c r="I547" s="1" t="str">
        <f>VLOOKUP(VolumebyClient[[#This Row],[Date]],Quarters[],3,TRUE)</f>
        <v>Q2 2021</v>
      </c>
    </row>
    <row r="548" spans="1:9" x14ac:dyDescent="0.2">
      <c r="A548" s="2" t="s">
        <v>31</v>
      </c>
      <c r="B548" s="10">
        <v>44347</v>
      </c>
      <c r="C548" s="5">
        <v>1206</v>
      </c>
      <c r="D548" s="1">
        <f>LEN(VolumebyClient[[#This Row],[CLID]])</f>
        <v>7</v>
      </c>
      <c r="F548" s="1" t="str">
        <f>INDEX(GeobyClient[GEOID],MATCH(VolumebyClient[[#This Row],[CLID]],GeobyClient[Right],0))</f>
        <v>GEO1003</v>
      </c>
      <c r="G548" s="1" t="str">
        <f>VLOOKUP(VolumebyClient[[#This Row],[Index Match Region ID]],GEONames[[GEOID]:[GEO NAME]],2,FALSE)</f>
        <v>EMEA</v>
      </c>
      <c r="H548" s="1" t="str">
        <f>"Q"&amp;ROUNDUP(MONTH(VolumebyClient[[#This Row],[Date]])/3,0)&amp;" "&amp;YEAR(VolumebyClient[[#This Row],[Date]])</f>
        <v>Q2 2021</v>
      </c>
      <c r="I548" s="1" t="str">
        <f>VLOOKUP(VolumebyClient[[#This Row],[Date]],Quarters[],3,TRUE)</f>
        <v>Q2 2021</v>
      </c>
    </row>
    <row r="549" spans="1:9" x14ac:dyDescent="0.2">
      <c r="A549" s="2" t="s">
        <v>31</v>
      </c>
      <c r="B549" s="10">
        <v>44316</v>
      </c>
      <c r="C549" s="5">
        <v>1519</v>
      </c>
      <c r="D549" s="1">
        <f>LEN(VolumebyClient[[#This Row],[CLID]])</f>
        <v>7</v>
      </c>
      <c r="F549" s="1" t="str">
        <f>INDEX(GeobyClient[GEOID],MATCH(VolumebyClient[[#This Row],[CLID]],GeobyClient[Right],0))</f>
        <v>GEO1003</v>
      </c>
      <c r="G549" s="1" t="str">
        <f>VLOOKUP(VolumebyClient[[#This Row],[Index Match Region ID]],GEONames[[GEOID]:[GEO NAME]],2,FALSE)</f>
        <v>EMEA</v>
      </c>
      <c r="H549" s="1" t="str">
        <f>"Q"&amp;ROUNDUP(MONTH(VolumebyClient[[#This Row],[Date]])/3,0)&amp;" "&amp;YEAR(VolumebyClient[[#This Row],[Date]])</f>
        <v>Q2 2021</v>
      </c>
      <c r="I549" s="1" t="str">
        <f>VLOOKUP(VolumebyClient[[#This Row],[Date]],Quarters[],3,TRUE)</f>
        <v>Q2 2021</v>
      </c>
    </row>
    <row r="550" spans="1:9" x14ac:dyDescent="0.2">
      <c r="A550" s="2" t="s">
        <v>31</v>
      </c>
      <c r="B550" s="10">
        <v>44286</v>
      </c>
      <c r="C550" s="5">
        <v>1096</v>
      </c>
      <c r="D550" s="1">
        <f>LEN(VolumebyClient[[#This Row],[CLID]])</f>
        <v>7</v>
      </c>
      <c r="F550" s="1" t="str">
        <f>INDEX(GeobyClient[GEOID],MATCH(VolumebyClient[[#This Row],[CLID]],GeobyClient[Right],0))</f>
        <v>GEO1003</v>
      </c>
      <c r="G550" s="1" t="str">
        <f>VLOOKUP(VolumebyClient[[#This Row],[Index Match Region ID]],GEONames[[GEOID]:[GEO NAME]],2,FALSE)</f>
        <v>EMEA</v>
      </c>
      <c r="H550" s="1" t="str">
        <f>"Q"&amp;ROUNDUP(MONTH(VolumebyClient[[#This Row],[Date]])/3,0)&amp;" "&amp;YEAR(VolumebyClient[[#This Row],[Date]])</f>
        <v>Q1 2021</v>
      </c>
      <c r="I550" s="1" t="str">
        <f>VLOOKUP(VolumebyClient[[#This Row],[Date]],Quarters[],3,TRUE)</f>
        <v>Q1 2021</v>
      </c>
    </row>
    <row r="551" spans="1:9" x14ac:dyDescent="0.2">
      <c r="A551" s="2" t="s">
        <v>31</v>
      </c>
      <c r="B551" s="10">
        <v>44255</v>
      </c>
      <c r="C551" s="5">
        <v>1110</v>
      </c>
      <c r="D551" s="1">
        <f>LEN(VolumebyClient[[#This Row],[CLID]])</f>
        <v>7</v>
      </c>
      <c r="F551" s="1" t="str">
        <f>INDEX(GeobyClient[GEOID],MATCH(VolumebyClient[[#This Row],[CLID]],GeobyClient[Right],0))</f>
        <v>GEO1003</v>
      </c>
      <c r="G551" s="1" t="str">
        <f>VLOOKUP(VolumebyClient[[#This Row],[Index Match Region ID]],GEONames[[GEOID]:[GEO NAME]],2,FALSE)</f>
        <v>EMEA</v>
      </c>
      <c r="H551" s="1" t="str">
        <f>"Q"&amp;ROUNDUP(MONTH(VolumebyClient[[#This Row],[Date]])/3,0)&amp;" "&amp;YEAR(VolumebyClient[[#This Row],[Date]])</f>
        <v>Q1 2021</v>
      </c>
      <c r="I551" s="1" t="str">
        <f>VLOOKUP(VolumebyClient[[#This Row],[Date]],Quarters[],3,TRUE)</f>
        <v>Q1 2021</v>
      </c>
    </row>
    <row r="552" spans="1:9" x14ac:dyDescent="0.2">
      <c r="A552" s="2" t="s">
        <v>31</v>
      </c>
      <c r="B552" s="10">
        <v>44227</v>
      </c>
      <c r="C552" s="5">
        <v>880</v>
      </c>
      <c r="D552" s="1">
        <f>LEN(VolumebyClient[[#This Row],[CLID]])</f>
        <v>7</v>
      </c>
      <c r="F552" s="1" t="str">
        <f>INDEX(GeobyClient[GEOID],MATCH(VolumebyClient[[#This Row],[CLID]],GeobyClient[Right],0))</f>
        <v>GEO1003</v>
      </c>
      <c r="G552" s="1" t="str">
        <f>VLOOKUP(VolumebyClient[[#This Row],[Index Match Region ID]],GEONames[[GEOID]:[GEO NAME]],2,FALSE)</f>
        <v>EMEA</v>
      </c>
      <c r="H552" s="1" t="str">
        <f>"Q"&amp;ROUNDUP(MONTH(VolumebyClient[[#This Row],[Date]])/3,0)&amp;" "&amp;YEAR(VolumebyClient[[#This Row],[Date]])</f>
        <v>Q1 2021</v>
      </c>
      <c r="I552" s="1" t="str">
        <f>VLOOKUP(VolumebyClient[[#This Row],[Date]],Quarters[],3,TRUE)</f>
        <v>Q1 2021</v>
      </c>
    </row>
    <row r="553" spans="1:9" x14ac:dyDescent="0.2">
      <c r="A553" s="2" t="s">
        <v>53</v>
      </c>
      <c r="B553" s="10">
        <v>43861</v>
      </c>
      <c r="C553" s="5">
        <v>9422</v>
      </c>
      <c r="D553" s="1">
        <f>LEN(VolumebyClient[[#This Row],[CLID]])</f>
        <v>7</v>
      </c>
      <c r="F553" s="1" t="str">
        <f>INDEX(GeobyClient[GEOID],MATCH(VolumebyClient[[#This Row],[CLID]],GeobyClient[Right],0))</f>
        <v>GEO1002</v>
      </c>
      <c r="G553" s="1" t="str">
        <f>VLOOKUP(VolumebyClient[[#This Row],[Index Match Region ID]],GEONames[[GEOID]:[GEO NAME]],2,FALSE)</f>
        <v>APAC</v>
      </c>
      <c r="H553" s="1" t="str">
        <f>"Q"&amp;ROUNDUP(MONTH(VolumebyClient[[#This Row],[Date]])/3,0)&amp;" "&amp;YEAR(VolumebyClient[[#This Row],[Date]])</f>
        <v>Q1 2020</v>
      </c>
      <c r="I553" s="1" t="str">
        <f>VLOOKUP(VolumebyClient[[#This Row],[Date]],Quarters[],3,TRUE)</f>
        <v>Q1 2020</v>
      </c>
    </row>
    <row r="554" spans="1:9" x14ac:dyDescent="0.2">
      <c r="A554" s="2" t="s">
        <v>53</v>
      </c>
      <c r="B554" s="10">
        <v>43890</v>
      </c>
      <c r="C554" s="5">
        <v>7438</v>
      </c>
      <c r="D554" s="1">
        <f>LEN(VolumebyClient[[#This Row],[CLID]])</f>
        <v>7</v>
      </c>
      <c r="F554" s="1" t="str">
        <f>INDEX(GeobyClient[GEOID],MATCH(VolumebyClient[[#This Row],[CLID]],GeobyClient[Right],0))</f>
        <v>GEO1002</v>
      </c>
      <c r="G554" s="1" t="str">
        <f>VLOOKUP(VolumebyClient[[#This Row],[Index Match Region ID]],GEONames[[GEOID]:[GEO NAME]],2,FALSE)</f>
        <v>APAC</v>
      </c>
      <c r="H554" s="1" t="str">
        <f>"Q"&amp;ROUNDUP(MONTH(VolumebyClient[[#This Row],[Date]])/3,0)&amp;" "&amp;YEAR(VolumebyClient[[#This Row],[Date]])</f>
        <v>Q1 2020</v>
      </c>
      <c r="I554" s="1" t="str">
        <f>VLOOKUP(VolumebyClient[[#This Row],[Date]],Quarters[],3,TRUE)</f>
        <v>Q1 2020</v>
      </c>
    </row>
    <row r="555" spans="1:9" x14ac:dyDescent="0.2">
      <c r="A555" s="2" t="s">
        <v>53</v>
      </c>
      <c r="B555" s="10">
        <v>43921</v>
      </c>
      <c r="C555" s="5">
        <v>11403</v>
      </c>
      <c r="D555" s="1">
        <f>LEN(VolumebyClient[[#This Row],[CLID]])</f>
        <v>7</v>
      </c>
      <c r="F555" s="1" t="str">
        <f>INDEX(GeobyClient[GEOID],MATCH(VolumebyClient[[#This Row],[CLID]],GeobyClient[Right],0))</f>
        <v>GEO1002</v>
      </c>
      <c r="G555" s="1" t="str">
        <f>VLOOKUP(VolumebyClient[[#This Row],[Index Match Region ID]],GEONames[[GEOID]:[GEO NAME]],2,FALSE)</f>
        <v>APAC</v>
      </c>
      <c r="H555" s="1" t="str">
        <f>"Q"&amp;ROUNDUP(MONTH(VolumebyClient[[#This Row],[Date]])/3,0)&amp;" "&amp;YEAR(VolumebyClient[[#This Row],[Date]])</f>
        <v>Q1 2020</v>
      </c>
      <c r="I555" s="1" t="str">
        <f>VLOOKUP(VolumebyClient[[#This Row],[Date]],Quarters[],3,TRUE)</f>
        <v>Q1 2020</v>
      </c>
    </row>
    <row r="556" spans="1:9" x14ac:dyDescent="0.2">
      <c r="A556" s="2" t="s">
        <v>53</v>
      </c>
      <c r="B556" s="10">
        <v>43951</v>
      </c>
      <c r="C556" s="5">
        <v>10408</v>
      </c>
      <c r="D556" s="1">
        <f>LEN(VolumebyClient[[#This Row],[CLID]])</f>
        <v>7</v>
      </c>
      <c r="F556" s="1" t="str">
        <f>INDEX(GeobyClient[GEOID],MATCH(VolumebyClient[[#This Row],[CLID]],GeobyClient[Right],0))</f>
        <v>GEO1002</v>
      </c>
      <c r="G556" s="1" t="str">
        <f>VLOOKUP(VolumebyClient[[#This Row],[Index Match Region ID]],GEONames[[GEOID]:[GEO NAME]],2,FALSE)</f>
        <v>APAC</v>
      </c>
      <c r="H556" s="1" t="str">
        <f>"Q"&amp;ROUNDUP(MONTH(VolumebyClient[[#This Row],[Date]])/3,0)&amp;" "&amp;YEAR(VolumebyClient[[#This Row],[Date]])</f>
        <v>Q2 2020</v>
      </c>
      <c r="I556" s="1" t="str">
        <f>VLOOKUP(VolumebyClient[[#This Row],[Date]],Quarters[],3,TRUE)</f>
        <v>Q2 2020</v>
      </c>
    </row>
    <row r="557" spans="1:9" x14ac:dyDescent="0.2">
      <c r="A557" s="2" t="s">
        <v>53</v>
      </c>
      <c r="B557" s="10">
        <v>43982</v>
      </c>
      <c r="C557" s="5">
        <v>12392</v>
      </c>
      <c r="D557" s="1">
        <f>LEN(VolumebyClient[[#This Row],[CLID]])</f>
        <v>7</v>
      </c>
      <c r="F557" s="1" t="str">
        <f>INDEX(GeobyClient[GEOID],MATCH(VolumebyClient[[#This Row],[CLID]],GeobyClient[Right],0))</f>
        <v>GEO1002</v>
      </c>
      <c r="G557" s="1" t="str">
        <f>VLOOKUP(VolumebyClient[[#This Row],[Index Match Region ID]],GEONames[[GEOID]:[GEO NAME]],2,FALSE)</f>
        <v>APAC</v>
      </c>
      <c r="H557" s="1" t="str">
        <f>"Q"&amp;ROUNDUP(MONTH(VolumebyClient[[#This Row],[Date]])/3,0)&amp;" "&amp;YEAR(VolumebyClient[[#This Row],[Date]])</f>
        <v>Q2 2020</v>
      </c>
      <c r="I557" s="1" t="str">
        <f>VLOOKUP(VolumebyClient[[#This Row],[Date]],Quarters[],3,TRUE)</f>
        <v>Q2 2020</v>
      </c>
    </row>
    <row r="558" spans="1:9" x14ac:dyDescent="0.2">
      <c r="A558" s="2" t="s">
        <v>53</v>
      </c>
      <c r="B558" s="10">
        <v>44012</v>
      </c>
      <c r="C558" s="5">
        <v>6449</v>
      </c>
      <c r="D558" s="1">
        <f>LEN(VolumebyClient[[#This Row],[CLID]])</f>
        <v>7</v>
      </c>
      <c r="F558" s="1" t="str">
        <f>INDEX(GeobyClient[GEOID],MATCH(VolumebyClient[[#This Row],[CLID]],GeobyClient[Right],0))</f>
        <v>GEO1002</v>
      </c>
      <c r="G558" s="1" t="str">
        <f>VLOOKUP(VolumebyClient[[#This Row],[Index Match Region ID]],GEONames[[GEOID]:[GEO NAME]],2,FALSE)</f>
        <v>APAC</v>
      </c>
      <c r="H558" s="1" t="str">
        <f>"Q"&amp;ROUNDUP(MONTH(VolumebyClient[[#This Row],[Date]])/3,0)&amp;" "&amp;YEAR(VolumebyClient[[#This Row],[Date]])</f>
        <v>Q2 2020</v>
      </c>
      <c r="I558" s="1" t="str">
        <f>VLOOKUP(VolumebyClient[[#This Row],[Date]],Quarters[],3,TRUE)</f>
        <v>Q2 2020</v>
      </c>
    </row>
    <row r="559" spans="1:9" x14ac:dyDescent="0.2">
      <c r="A559" s="2" t="s">
        <v>53</v>
      </c>
      <c r="B559" s="10">
        <v>44043</v>
      </c>
      <c r="C559" s="5">
        <v>8425</v>
      </c>
      <c r="D559" s="1">
        <f>LEN(VolumebyClient[[#This Row],[CLID]])</f>
        <v>7</v>
      </c>
      <c r="F559" s="1" t="str">
        <f>INDEX(GeobyClient[GEOID],MATCH(VolumebyClient[[#This Row],[CLID]],GeobyClient[Right],0))</f>
        <v>GEO1002</v>
      </c>
      <c r="G559" s="1" t="str">
        <f>VLOOKUP(VolumebyClient[[#This Row],[Index Match Region ID]],GEONames[[GEOID]:[GEO NAME]],2,FALSE)</f>
        <v>APAC</v>
      </c>
      <c r="H559" s="1" t="str">
        <f>"Q"&amp;ROUNDUP(MONTH(VolumebyClient[[#This Row],[Date]])/3,0)&amp;" "&amp;YEAR(VolumebyClient[[#This Row],[Date]])</f>
        <v>Q3 2020</v>
      </c>
      <c r="I559" s="1" t="str">
        <f>VLOOKUP(VolumebyClient[[#This Row],[Date]],Quarters[],3,TRUE)</f>
        <v>Q3 2020</v>
      </c>
    </row>
    <row r="560" spans="1:9" x14ac:dyDescent="0.2">
      <c r="A560" s="2" t="s">
        <v>53</v>
      </c>
      <c r="B560" s="10">
        <v>44074</v>
      </c>
      <c r="C560" s="5">
        <v>4464</v>
      </c>
      <c r="D560" s="1">
        <f>LEN(VolumebyClient[[#This Row],[CLID]])</f>
        <v>7</v>
      </c>
      <c r="F560" s="1" t="str">
        <f>INDEX(GeobyClient[GEOID],MATCH(VolumebyClient[[#This Row],[CLID]],GeobyClient[Right],0))</f>
        <v>GEO1002</v>
      </c>
      <c r="G560" s="1" t="str">
        <f>VLOOKUP(VolumebyClient[[#This Row],[Index Match Region ID]],GEONames[[GEOID]:[GEO NAME]],2,FALSE)</f>
        <v>APAC</v>
      </c>
      <c r="H560" s="1" t="str">
        <f>"Q"&amp;ROUNDUP(MONTH(VolumebyClient[[#This Row],[Date]])/3,0)&amp;" "&amp;YEAR(VolumebyClient[[#This Row],[Date]])</f>
        <v>Q3 2020</v>
      </c>
      <c r="I560" s="1" t="str">
        <f>VLOOKUP(VolumebyClient[[#This Row],[Date]],Quarters[],3,TRUE)</f>
        <v>Q3 2020</v>
      </c>
    </row>
    <row r="561" spans="1:9" x14ac:dyDescent="0.2">
      <c r="A561" s="2" t="s">
        <v>53</v>
      </c>
      <c r="B561" s="10">
        <v>44104</v>
      </c>
      <c r="C561" s="5">
        <v>7440</v>
      </c>
      <c r="D561" s="1">
        <f>LEN(VolumebyClient[[#This Row],[CLID]])</f>
        <v>7</v>
      </c>
      <c r="F561" s="1" t="str">
        <f>INDEX(GeobyClient[GEOID],MATCH(VolumebyClient[[#This Row],[CLID]],GeobyClient[Right],0))</f>
        <v>GEO1002</v>
      </c>
      <c r="G561" s="1" t="str">
        <f>VLOOKUP(VolumebyClient[[#This Row],[Index Match Region ID]],GEONames[[GEOID]:[GEO NAME]],2,FALSE)</f>
        <v>APAC</v>
      </c>
      <c r="H561" s="1" t="str">
        <f>"Q"&amp;ROUNDUP(MONTH(VolumebyClient[[#This Row],[Date]])/3,0)&amp;" "&amp;YEAR(VolumebyClient[[#This Row],[Date]])</f>
        <v>Q3 2020</v>
      </c>
      <c r="I561" s="1" t="str">
        <f>VLOOKUP(VolumebyClient[[#This Row],[Date]],Quarters[],3,TRUE)</f>
        <v>Q3 2020</v>
      </c>
    </row>
    <row r="562" spans="1:9" x14ac:dyDescent="0.2">
      <c r="A562" s="2" t="s">
        <v>53</v>
      </c>
      <c r="B562" s="10">
        <v>44135</v>
      </c>
      <c r="C562" s="5">
        <v>5452</v>
      </c>
      <c r="D562" s="1">
        <f>LEN(VolumebyClient[[#This Row],[CLID]])</f>
        <v>7</v>
      </c>
      <c r="F562" s="1" t="str">
        <f>INDEX(GeobyClient[GEOID],MATCH(VolumebyClient[[#This Row],[CLID]],GeobyClient[Right],0))</f>
        <v>GEO1002</v>
      </c>
      <c r="G562" s="1" t="str">
        <f>VLOOKUP(VolumebyClient[[#This Row],[Index Match Region ID]],GEONames[[GEOID]:[GEO NAME]],2,FALSE)</f>
        <v>APAC</v>
      </c>
      <c r="H562" s="1" t="str">
        <f>"Q"&amp;ROUNDUP(MONTH(VolumebyClient[[#This Row],[Date]])/3,0)&amp;" "&amp;YEAR(VolumebyClient[[#This Row],[Date]])</f>
        <v>Q4 2020</v>
      </c>
      <c r="I562" s="1" t="str">
        <f>VLOOKUP(VolumebyClient[[#This Row],[Date]],Quarters[],3,TRUE)</f>
        <v>Q4 2020</v>
      </c>
    </row>
    <row r="563" spans="1:9" x14ac:dyDescent="0.2">
      <c r="A563" s="2" t="s">
        <v>53</v>
      </c>
      <c r="B563" s="10">
        <v>44165</v>
      </c>
      <c r="C563" s="5">
        <v>9422</v>
      </c>
      <c r="D563" s="1">
        <f>LEN(VolumebyClient[[#This Row],[CLID]])</f>
        <v>7</v>
      </c>
      <c r="F563" s="1" t="str">
        <f>INDEX(GeobyClient[GEOID],MATCH(VolumebyClient[[#This Row],[CLID]],GeobyClient[Right],0))</f>
        <v>GEO1002</v>
      </c>
      <c r="G563" s="1" t="str">
        <f>VLOOKUP(VolumebyClient[[#This Row],[Index Match Region ID]],GEONames[[GEOID]:[GEO NAME]],2,FALSE)</f>
        <v>APAC</v>
      </c>
      <c r="H563" s="1" t="str">
        <f>"Q"&amp;ROUNDUP(MONTH(VolumebyClient[[#This Row],[Date]])/3,0)&amp;" "&amp;YEAR(VolumebyClient[[#This Row],[Date]])</f>
        <v>Q4 2020</v>
      </c>
      <c r="I563" s="1" t="str">
        <f>VLOOKUP(VolumebyClient[[#This Row],[Date]],Quarters[],3,TRUE)</f>
        <v>Q4 2020</v>
      </c>
    </row>
    <row r="564" spans="1:9" x14ac:dyDescent="0.2">
      <c r="A564" s="2" t="s">
        <v>53</v>
      </c>
      <c r="B564" s="10">
        <v>44196</v>
      </c>
      <c r="C564" s="5">
        <v>6445</v>
      </c>
      <c r="D564" s="1">
        <f>LEN(VolumebyClient[[#This Row],[CLID]])</f>
        <v>7</v>
      </c>
      <c r="F564" s="1" t="str">
        <f>INDEX(GeobyClient[GEOID],MATCH(VolumebyClient[[#This Row],[CLID]],GeobyClient[Right],0))</f>
        <v>GEO1002</v>
      </c>
      <c r="G564" s="1" t="str">
        <f>VLOOKUP(VolumebyClient[[#This Row],[Index Match Region ID]],GEONames[[GEOID]:[GEO NAME]],2,FALSE)</f>
        <v>APAC</v>
      </c>
      <c r="H564" s="1" t="str">
        <f>"Q"&amp;ROUNDUP(MONTH(VolumebyClient[[#This Row],[Date]])/3,0)&amp;" "&amp;YEAR(VolumebyClient[[#This Row],[Date]])</f>
        <v>Q4 2020</v>
      </c>
      <c r="I564" s="1" t="str">
        <f>VLOOKUP(VolumebyClient[[#This Row],[Date]],Quarters[],3,TRUE)</f>
        <v>Q4 2020</v>
      </c>
    </row>
    <row r="565" spans="1:9" x14ac:dyDescent="0.2">
      <c r="A565" s="2" t="s">
        <v>53</v>
      </c>
      <c r="B565" s="10">
        <v>44377</v>
      </c>
      <c r="C565" s="5">
        <v>6576</v>
      </c>
      <c r="D565" s="1">
        <f>LEN(VolumebyClient[[#This Row],[CLID]])</f>
        <v>7</v>
      </c>
      <c r="F565" s="1" t="str">
        <f>INDEX(GeobyClient[GEOID],MATCH(VolumebyClient[[#This Row],[CLID]],GeobyClient[Right],0))</f>
        <v>GEO1002</v>
      </c>
      <c r="G565" s="1" t="str">
        <f>VLOOKUP(VolumebyClient[[#This Row],[Index Match Region ID]],GEONames[[GEOID]:[GEO NAME]],2,FALSE)</f>
        <v>APAC</v>
      </c>
      <c r="H565" s="1" t="str">
        <f>"Q"&amp;ROUNDUP(MONTH(VolumebyClient[[#This Row],[Date]])/3,0)&amp;" "&amp;YEAR(VolumebyClient[[#This Row],[Date]])</f>
        <v>Q2 2021</v>
      </c>
      <c r="I565" s="1" t="str">
        <f>VLOOKUP(VolumebyClient[[#This Row],[Date]],Quarters[],3,TRUE)</f>
        <v>Q2 2021</v>
      </c>
    </row>
    <row r="566" spans="1:9" x14ac:dyDescent="0.2">
      <c r="A566" s="2" t="s">
        <v>53</v>
      </c>
      <c r="B566" s="10">
        <v>44347</v>
      </c>
      <c r="C566" s="5">
        <v>13012</v>
      </c>
      <c r="D566" s="1">
        <f>LEN(VolumebyClient[[#This Row],[CLID]])</f>
        <v>7</v>
      </c>
      <c r="F566" s="1" t="str">
        <f>INDEX(GeobyClient[GEOID],MATCH(VolumebyClient[[#This Row],[CLID]],GeobyClient[Right],0))</f>
        <v>GEO1002</v>
      </c>
      <c r="G566" s="1" t="str">
        <f>VLOOKUP(VolumebyClient[[#This Row],[Index Match Region ID]],GEONames[[GEOID]:[GEO NAME]],2,FALSE)</f>
        <v>APAC</v>
      </c>
      <c r="H566" s="1" t="str">
        <f>"Q"&amp;ROUNDUP(MONTH(VolumebyClient[[#This Row],[Date]])/3,0)&amp;" "&amp;YEAR(VolumebyClient[[#This Row],[Date]])</f>
        <v>Q2 2021</v>
      </c>
      <c r="I566" s="1" t="str">
        <f>VLOOKUP(VolumebyClient[[#This Row],[Date]],Quarters[],3,TRUE)</f>
        <v>Q2 2021</v>
      </c>
    </row>
    <row r="567" spans="1:9" x14ac:dyDescent="0.2">
      <c r="A567" s="2" t="s">
        <v>53</v>
      </c>
      <c r="B567" s="10">
        <v>44316</v>
      </c>
      <c r="C567" s="5">
        <v>10308</v>
      </c>
      <c r="D567" s="1">
        <f>LEN(VolumebyClient[[#This Row],[CLID]])</f>
        <v>7</v>
      </c>
      <c r="F567" s="1" t="str">
        <f>INDEX(GeobyClient[GEOID],MATCH(VolumebyClient[[#This Row],[CLID]],GeobyClient[Right],0))</f>
        <v>GEO1002</v>
      </c>
      <c r="G567" s="1" t="str">
        <f>VLOOKUP(VolumebyClient[[#This Row],[Index Match Region ID]],GEONames[[GEOID]:[GEO NAME]],2,FALSE)</f>
        <v>APAC</v>
      </c>
      <c r="H567" s="1" t="str">
        <f>"Q"&amp;ROUNDUP(MONTH(VolumebyClient[[#This Row],[Date]])/3,0)&amp;" "&amp;YEAR(VolumebyClient[[#This Row],[Date]])</f>
        <v>Q2 2021</v>
      </c>
      <c r="I567" s="1" t="str">
        <f>VLOOKUP(VolumebyClient[[#This Row],[Date]],Quarters[],3,TRUE)</f>
        <v>Q2 2021</v>
      </c>
    </row>
    <row r="568" spans="1:9" x14ac:dyDescent="0.2">
      <c r="A568" s="2" t="s">
        <v>53</v>
      </c>
      <c r="B568" s="10">
        <v>44286</v>
      </c>
      <c r="C568" s="5">
        <v>11287</v>
      </c>
      <c r="D568" s="1">
        <f>LEN(VolumebyClient[[#This Row],[CLID]])</f>
        <v>7</v>
      </c>
      <c r="F568" s="1" t="str">
        <f>INDEX(GeobyClient[GEOID],MATCH(VolumebyClient[[#This Row],[CLID]],GeobyClient[Right],0))</f>
        <v>GEO1002</v>
      </c>
      <c r="G568" s="1" t="str">
        <f>VLOOKUP(VolumebyClient[[#This Row],[Index Match Region ID]],GEONames[[GEOID]:[GEO NAME]],2,FALSE)</f>
        <v>APAC</v>
      </c>
      <c r="H568" s="1" t="str">
        <f>"Q"&amp;ROUNDUP(MONTH(VolumebyClient[[#This Row],[Date]])/3,0)&amp;" "&amp;YEAR(VolumebyClient[[#This Row],[Date]])</f>
        <v>Q1 2021</v>
      </c>
      <c r="I568" s="1" t="str">
        <f>VLOOKUP(VolumebyClient[[#This Row],[Date]],Quarters[],3,TRUE)</f>
        <v>Q1 2021</v>
      </c>
    </row>
    <row r="569" spans="1:9" x14ac:dyDescent="0.2">
      <c r="A569" s="2" t="s">
        <v>53</v>
      </c>
      <c r="B569" s="10">
        <v>44255</v>
      </c>
      <c r="C569" s="5">
        <v>7361</v>
      </c>
      <c r="D569" s="1">
        <f>LEN(VolumebyClient[[#This Row],[CLID]])</f>
        <v>7</v>
      </c>
      <c r="F569" s="1" t="str">
        <f>INDEX(GeobyClient[GEOID],MATCH(VolumebyClient[[#This Row],[CLID]],GeobyClient[Right],0))</f>
        <v>GEO1002</v>
      </c>
      <c r="G569" s="1" t="str">
        <f>VLOOKUP(VolumebyClient[[#This Row],[Index Match Region ID]],GEONames[[GEOID]:[GEO NAME]],2,FALSE)</f>
        <v>APAC</v>
      </c>
      <c r="H569" s="1" t="str">
        <f>"Q"&amp;ROUNDUP(MONTH(VolumebyClient[[#This Row],[Date]])/3,0)&amp;" "&amp;YEAR(VolumebyClient[[#This Row],[Date]])</f>
        <v>Q1 2021</v>
      </c>
      <c r="I569" s="1" t="str">
        <f>VLOOKUP(VolumebyClient[[#This Row],[Date]],Quarters[],3,TRUE)</f>
        <v>Q1 2021</v>
      </c>
    </row>
    <row r="570" spans="1:9" x14ac:dyDescent="0.2">
      <c r="A570" s="2" t="s">
        <v>53</v>
      </c>
      <c r="B570" s="10">
        <v>44227</v>
      </c>
      <c r="C570" s="5">
        <v>9604</v>
      </c>
      <c r="D570" s="1">
        <f>LEN(VolumebyClient[[#This Row],[CLID]])</f>
        <v>7</v>
      </c>
      <c r="F570" s="1" t="str">
        <f>INDEX(GeobyClient[GEOID],MATCH(VolumebyClient[[#This Row],[CLID]],GeobyClient[Right],0))</f>
        <v>GEO1002</v>
      </c>
      <c r="G570" s="1" t="str">
        <f>VLOOKUP(VolumebyClient[[#This Row],[Index Match Region ID]],GEONames[[GEOID]:[GEO NAME]],2,FALSE)</f>
        <v>APAC</v>
      </c>
      <c r="H570" s="1" t="str">
        <f>"Q"&amp;ROUNDUP(MONTH(VolumebyClient[[#This Row],[Date]])/3,0)&amp;" "&amp;YEAR(VolumebyClient[[#This Row],[Date]])</f>
        <v>Q1 2021</v>
      </c>
      <c r="I570" s="1" t="str">
        <f>VLOOKUP(VolumebyClient[[#This Row],[Date]],Quarters[],3,TRUE)</f>
        <v>Q1 2021</v>
      </c>
    </row>
    <row r="571" spans="1:9" x14ac:dyDescent="0.2">
      <c r="A571" s="2" t="s">
        <v>27</v>
      </c>
      <c r="B571" s="10">
        <v>43861</v>
      </c>
      <c r="C571" s="5">
        <v>19257</v>
      </c>
      <c r="D571" s="1">
        <f>LEN(VolumebyClient[[#This Row],[CLID]])</f>
        <v>7</v>
      </c>
      <c r="F571" s="1" t="str">
        <f>INDEX(GeobyClient[GEOID],MATCH(VolumebyClient[[#This Row],[CLID]],GeobyClient[Right],0))</f>
        <v>GEO1003</v>
      </c>
      <c r="G571" s="1" t="str">
        <f>VLOOKUP(VolumebyClient[[#This Row],[Index Match Region ID]],GEONames[[GEOID]:[GEO NAME]],2,FALSE)</f>
        <v>EMEA</v>
      </c>
      <c r="H571" s="1" t="str">
        <f>"Q"&amp;ROUNDUP(MONTH(VolumebyClient[[#This Row],[Date]])/3,0)&amp;" "&amp;YEAR(VolumebyClient[[#This Row],[Date]])</f>
        <v>Q1 2020</v>
      </c>
      <c r="I571" s="1" t="str">
        <f>VLOOKUP(VolumebyClient[[#This Row],[Date]],Quarters[],3,TRUE)</f>
        <v>Q1 2020</v>
      </c>
    </row>
    <row r="572" spans="1:9" x14ac:dyDescent="0.2">
      <c r="A572" s="2" t="s">
        <v>27</v>
      </c>
      <c r="B572" s="10">
        <v>43890</v>
      </c>
      <c r="C572" s="5">
        <v>19258</v>
      </c>
      <c r="D572" s="1">
        <f>LEN(VolumebyClient[[#This Row],[CLID]])</f>
        <v>7</v>
      </c>
      <c r="F572" s="1" t="str">
        <f>INDEX(GeobyClient[GEOID],MATCH(VolumebyClient[[#This Row],[CLID]],GeobyClient[Right],0))</f>
        <v>GEO1003</v>
      </c>
      <c r="G572" s="1" t="str">
        <f>VLOOKUP(VolumebyClient[[#This Row],[Index Match Region ID]],GEONames[[GEOID]:[GEO NAME]],2,FALSE)</f>
        <v>EMEA</v>
      </c>
      <c r="H572" s="1" t="str">
        <f>"Q"&amp;ROUNDUP(MONTH(VolumebyClient[[#This Row],[Date]])/3,0)&amp;" "&amp;YEAR(VolumebyClient[[#This Row],[Date]])</f>
        <v>Q1 2020</v>
      </c>
      <c r="I572" s="1" t="str">
        <f>VLOOKUP(VolumebyClient[[#This Row],[Date]],Quarters[],3,TRUE)</f>
        <v>Q1 2020</v>
      </c>
    </row>
    <row r="573" spans="1:9" x14ac:dyDescent="0.2">
      <c r="A573" s="2" t="s">
        <v>27</v>
      </c>
      <c r="B573" s="10">
        <v>43921</v>
      </c>
      <c r="C573" s="5">
        <v>23787</v>
      </c>
      <c r="D573" s="1">
        <f>LEN(VolumebyClient[[#This Row],[CLID]])</f>
        <v>7</v>
      </c>
      <c r="F573" s="1" t="str">
        <f>INDEX(GeobyClient[GEOID],MATCH(VolumebyClient[[#This Row],[CLID]],GeobyClient[Right],0))</f>
        <v>GEO1003</v>
      </c>
      <c r="G573" s="1" t="str">
        <f>VLOOKUP(VolumebyClient[[#This Row],[Index Match Region ID]],GEONames[[GEOID]:[GEO NAME]],2,FALSE)</f>
        <v>EMEA</v>
      </c>
      <c r="H573" s="1" t="str">
        <f>"Q"&amp;ROUNDUP(MONTH(VolumebyClient[[#This Row],[Date]])/3,0)&amp;" "&amp;YEAR(VolumebyClient[[#This Row],[Date]])</f>
        <v>Q1 2020</v>
      </c>
      <c r="I573" s="1" t="str">
        <f>VLOOKUP(VolumebyClient[[#This Row],[Date]],Quarters[],3,TRUE)</f>
        <v>Q1 2020</v>
      </c>
    </row>
    <row r="574" spans="1:9" x14ac:dyDescent="0.2">
      <c r="A574" s="2" t="s">
        <v>27</v>
      </c>
      <c r="B574" s="10">
        <v>43951</v>
      </c>
      <c r="C574" s="5">
        <v>26053</v>
      </c>
      <c r="D574" s="1">
        <f>LEN(VolumebyClient[[#This Row],[CLID]])</f>
        <v>7</v>
      </c>
      <c r="F574" s="1" t="str">
        <f>INDEX(GeobyClient[GEOID],MATCH(VolumebyClient[[#This Row],[CLID]],GeobyClient[Right],0))</f>
        <v>GEO1003</v>
      </c>
      <c r="G574" s="1" t="str">
        <f>VLOOKUP(VolumebyClient[[#This Row],[Index Match Region ID]],GEONames[[GEOID]:[GEO NAME]],2,FALSE)</f>
        <v>EMEA</v>
      </c>
      <c r="H574" s="1" t="str">
        <f>"Q"&amp;ROUNDUP(MONTH(VolumebyClient[[#This Row],[Date]])/3,0)&amp;" "&amp;YEAR(VolumebyClient[[#This Row],[Date]])</f>
        <v>Q2 2020</v>
      </c>
      <c r="I574" s="1" t="str">
        <f>VLOOKUP(VolumebyClient[[#This Row],[Date]],Quarters[],3,TRUE)</f>
        <v>Q2 2020</v>
      </c>
    </row>
    <row r="575" spans="1:9" x14ac:dyDescent="0.2">
      <c r="A575" s="2" t="s">
        <v>27</v>
      </c>
      <c r="B575" s="10">
        <v>43982</v>
      </c>
      <c r="C575" s="5">
        <v>26056</v>
      </c>
      <c r="D575" s="1">
        <f>LEN(VolumebyClient[[#This Row],[CLID]])</f>
        <v>7</v>
      </c>
      <c r="F575" s="1" t="str">
        <f>INDEX(GeobyClient[GEOID],MATCH(VolumebyClient[[#This Row],[CLID]],GeobyClient[Right],0))</f>
        <v>GEO1003</v>
      </c>
      <c r="G575" s="1" t="str">
        <f>VLOOKUP(VolumebyClient[[#This Row],[Index Match Region ID]],GEONames[[GEOID]:[GEO NAME]],2,FALSE)</f>
        <v>EMEA</v>
      </c>
      <c r="H575" s="1" t="str">
        <f>"Q"&amp;ROUNDUP(MONTH(VolumebyClient[[#This Row],[Date]])/3,0)&amp;" "&amp;YEAR(VolumebyClient[[#This Row],[Date]])</f>
        <v>Q2 2020</v>
      </c>
      <c r="I575" s="1" t="str">
        <f>VLOOKUP(VolumebyClient[[#This Row],[Date]],Quarters[],3,TRUE)</f>
        <v>Q2 2020</v>
      </c>
    </row>
    <row r="576" spans="1:9" x14ac:dyDescent="0.2">
      <c r="A576" s="2" t="s">
        <v>27</v>
      </c>
      <c r="B576" s="10">
        <v>44012</v>
      </c>
      <c r="C576" s="5">
        <v>16993</v>
      </c>
      <c r="D576" s="1">
        <f>LEN(VolumebyClient[[#This Row],[CLID]])</f>
        <v>7</v>
      </c>
      <c r="F576" s="1" t="str">
        <f>INDEX(GeobyClient[GEOID],MATCH(VolumebyClient[[#This Row],[CLID]],GeobyClient[Right],0))</f>
        <v>GEO1003</v>
      </c>
      <c r="G576" s="1" t="str">
        <f>VLOOKUP(VolumebyClient[[#This Row],[Index Match Region ID]],GEONames[[GEOID]:[GEO NAME]],2,FALSE)</f>
        <v>EMEA</v>
      </c>
      <c r="H576" s="1" t="str">
        <f>"Q"&amp;ROUNDUP(MONTH(VolumebyClient[[#This Row],[Date]])/3,0)&amp;" "&amp;YEAR(VolumebyClient[[#This Row],[Date]])</f>
        <v>Q2 2020</v>
      </c>
      <c r="I576" s="1" t="str">
        <f>VLOOKUP(VolumebyClient[[#This Row],[Date]],Quarters[],3,TRUE)</f>
        <v>Q2 2020</v>
      </c>
    </row>
    <row r="577" spans="1:9" x14ac:dyDescent="0.2">
      <c r="A577" s="2" t="s">
        <v>27</v>
      </c>
      <c r="B577" s="10">
        <v>44043</v>
      </c>
      <c r="C577" s="5">
        <v>16994</v>
      </c>
      <c r="D577" s="1">
        <f>LEN(VolumebyClient[[#This Row],[CLID]])</f>
        <v>7</v>
      </c>
      <c r="F577" s="1" t="str">
        <f>INDEX(GeobyClient[GEOID],MATCH(VolumebyClient[[#This Row],[CLID]],GeobyClient[Right],0))</f>
        <v>GEO1003</v>
      </c>
      <c r="G577" s="1" t="str">
        <f>VLOOKUP(VolumebyClient[[#This Row],[Index Match Region ID]],GEONames[[GEOID]:[GEO NAME]],2,FALSE)</f>
        <v>EMEA</v>
      </c>
      <c r="H577" s="1" t="str">
        <f>"Q"&amp;ROUNDUP(MONTH(VolumebyClient[[#This Row],[Date]])/3,0)&amp;" "&amp;YEAR(VolumebyClient[[#This Row],[Date]])</f>
        <v>Q3 2020</v>
      </c>
      <c r="I577" s="1" t="str">
        <f>VLOOKUP(VolumebyClient[[#This Row],[Date]],Quarters[],3,TRUE)</f>
        <v>Q3 2020</v>
      </c>
    </row>
    <row r="578" spans="1:9" x14ac:dyDescent="0.2">
      <c r="A578" s="2" t="s">
        <v>27</v>
      </c>
      <c r="B578" s="10">
        <v>44074</v>
      </c>
      <c r="C578" s="5">
        <v>12464</v>
      </c>
      <c r="D578" s="1">
        <f>LEN(VolumebyClient[[#This Row],[CLID]])</f>
        <v>7</v>
      </c>
      <c r="F578" s="1" t="str">
        <f>INDEX(GeobyClient[GEOID],MATCH(VolumebyClient[[#This Row],[CLID]],GeobyClient[Right],0))</f>
        <v>GEO1003</v>
      </c>
      <c r="G578" s="1" t="str">
        <f>VLOOKUP(VolumebyClient[[#This Row],[Index Match Region ID]],GEONames[[GEOID]:[GEO NAME]],2,FALSE)</f>
        <v>EMEA</v>
      </c>
      <c r="H578" s="1" t="str">
        <f>"Q"&amp;ROUNDUP(MONTH(VolumebyClient[[#This Row],[Date]])/3,0)&amp;" "&amp;YEAR(VolumebyClient[[#This Row],[Date]])</f>
        <v>Q3 2020</v>
      </c>
      <c r="I578" s="1" t="str">
        <f>VLOOKUP(VolumebyClient[[#This Row],[Date]],Quarters[],3,TRUE)</f>
        <v>Q3 2020</v>
      </c>
    </row>
    <row r="579" spans="1:9" x14ac:dyDescent="0.2">
      <c r="A579" s="2" t="s">
        <v>27</v>
      </c>
      <c r="B579" s="10">
        <v>44104</v>
      </c>
      <c r="C579" s="5">
        <v>14726</v>
      </c>
      <c r="D579" s="1">
        <f>LEN(VolumebyClient[[#This Row],[CLID]])</f>
        <v>7</v>
      </c>
      <c r="F579" s="1" t="str">
        <f>INDEX(GeobyClient[GEOID],MATCH(VolumebyClient[[#This Row],[CLID]],GeobyClient[Right],0))</f>
        <v>GEO1003</v>
      </c>
      <c r="G579" s="1" t="str">
        <f>VLOOKUP(VolumebyClient[[#This Row],[Index Match Region ID]],GEONames[[GEOID]:[GEO NAME]],2,FALSE)</f>
        <v>EMEA</v>
      </c>
      <c r="H579" s="1" t="str">
        <f>"Q"&amp;ROUNDUP(MONTH(VolumebyClient[[#This Row],[Date]])/3,0)&amp;" "&amp;YEAR(VolumebyClient[[#This Row],[Date]])</f>
        <v>Q3 2020</v>
      </c>
      <c r="I579" s="1" t="str">
        <f>VLOOKUP(VolumebyClient[[#This Row],[Date]],Quarters[],3,TRUE)</f>
        <v>Q3 2020</v>
      </c>
    </row>
    <row r="580" spans="1:9" x14ac:dyDescent="0.2">
      <c r="A580" s="2" t="s">
        <v>27</v>
      </c>
      <c r="B580" s="10">
        <v>44135</v>
      </c>
      <c r="C580" s="5">
        <v>14726</v>
      </c>
      <c r="D580" s="1">
        <f>LEN(VolumebyClient[[#This Row],[CLID]])</f>
        <v>7</v>
      </c>
      <c r="F580" s="1" t="str">
        <f>INDEX(GeobyClient[GEOID],MATCH(VolumebyClient[[#This Row],[CLID]],GeobyClient[Right],0))</f>
        <v>GEO1003</v>
      </c>
      <c r="G580" s="1" t="str">
        <f>VLOOKUP(VolumebyClient[[#This Row],[Index Match Region ID]],GEONames[[GEOID]:[GEO NAME]],2,FALSE)</f>
        <v>EMEA</v>
      </c>
      <c r="H580" s="1" t="str">
        <f>"Q"&amp;ROUNDUP(MONTH(VolumebyClient[[#This Row],[Date]])/3,0)&amp;" "&amp;YEAR(VolumebyClient[[#This Row],[Date]])</f>
        <v>Q4 2020</v>
      </c>
      <c r="I580" s="1" t="str">
        <f>VLOOKUP(VolumebyClient[[#This Row],[Date]],Quarters[],3,TRUE)</f>
        <v>Q4 2020</v>
      </c>
    </row>
    <row r="581" spans="1:9" x14ac:dyDescent="0.2">
      <c r="A581" s="2" t="s">
        <v>27</v>
      </c>
      <c r="B581" s="10">
        <v>44165</v>
      </c>
      <c r="C581" s="5">
        <v>19258</v>
      </c>
      <c r="D581" s="1">
        <f>LEN(VolumebyClient[[#This Row],[CLID]])</f>
        <v>7</v>
      </c>
      <c r="F581" s="1" t="str">
        <f>INDEX(GeobyClient[GEOID],MATCH(VolumebyClient[[#This Row],[CLID]],GeobyClient[Right],0))</f>
        <v>GEO1003</v>
      </c>
      <c r="G581" s="1" t="str">
        <f>VLOOKUP(VolumebyClient[[#This Row],[Index Match Region ID]],GEONames[[GEOID]:[GEO NAME]],2,FALSE)</f>
        <v>EMEA</v>
      </c>
      <c r="H581" s="1" t="str">
        <f>"Q"&amp;ROUNDUP(MONTH(VolumebyClient[[#This Row],[Date]])/3,0)&amp;" "&amp;YEAR(VolumebyClient[[#This Row],[Date]])</f>
        <v>Q4 2020</v>
      </c>
      <c r="I581" s="1" t="str">
        <f>VLOOKUP(VolumebyClient[[#This Row],[Date]],Quarters[],3,TRUE)</f>
        <v>Q4 2020</v>
      </c>
    </row>
    <row r="582" spans="1:9" x14ac:dyDescent="0.2">
      <c r="A582" s="2" t="s">
        <v>27</v>
      </c>
      <c r="B582" s="10">
        <v>44196</v>
      </c>
      <c r="C582" s="5">
        <v>16992</v>
      </c>
      <c r="D582" s="1">
        <f>LEN(VolumebyClient[[#This Row],[CLID]])</f>
        <v>7</v>
      </c>
      <c r="F582" s="1" t="str">
        <f>INDEX(GeobyClient[GEOID],MATCH(VolumebyClient[[#This Row],[CLID]],GeobyClient[Right],0))</f>
        <v>GEO1003</v>
      </c>
      <c r="G582" s="1" t="str">
        <f>VLOOKUP(VolumebyClient[[#This Row],[Index Match Region ID]],GEONames[[GEOID]:[GEO NAME]],2,FALSE)</f>
        <v>EMEA</v>
      </c>
      <c r="H582" s="1" t="str">
        <f>"Q"&amp;ROUNDUP(MONTH(VolumebyClient[[#This Row],[Date]])/3,0)&amp;" "&amp;YEAR(VolumebyClient[[#This Row],[Date]])</f>
        <v>Q4 2020</v>
      </c>
      <c r="I582" s="1" t="str">
        <f>VLOOKUP(VolumebyClient[[#This Row],[Date]],Quarters[],3,TRUE)</f>
        <v>Q4 2020</v>
      </c>
    </row>
    <row r="583" spans="1:9" x14ac:dyDescent="0.2">
      <c r="A583" s="2" t="s">
        <v>27</v>
      </c>
      <c r="B583" s="10">
        <v>44377</v>
      </c>
      <c r="C583" s="5">
        <v>17501</v>
      </c>
      <c r="D583" s="1">
        <f>LEN(VolumebyClient[[#This Row],[CLID]])</f>
        <v>7</v>
      </c>
      <c r="F583" s="1" t="str">
        <f>INDEX(GeobyClient[GEOID],MATCH(VolumebyClient[[#This Row],[CLID]],GeobyClient[Right],0))</f>
        <v>GEO1003</v>
      </c>
      <c r="G583" s="1" t="str">
        <f>VLOOKUP(VolumebyClient[[#This Row],[Index Match Region ID]],GEONames[[GEOID]:[GEO NAME]],2,FALSE)</f>
        <v>EMEA</v>
      </c>
      <c r="H583" s="1" t="str">
        <f>"Q"&amp;ROUNDUP(MONTH(VolumebyClient[[#This Row],[Date]])/3,0)&amp;" "&amp;YEAR(VolumebyClient[[#This Row],[Date]])</f>
        <v>Q2 2021</v>
      </c>
      <c r="I583" s="1" t="str">
        <f>VLOOKUP(VolumebyClient[[#This Row],[Date]],Quarters[],3,TRUE)</f>
        <v>Q2 2021</v>
      </c>
    </row>
    <row r="584" spans="1:9" x14ac:dyDescent="0.2">
      <c r="A584" s="2" t="s">
        <v>27</v>
      </c>
      <c r="B584" s="10">
        <v>44347</v>
      </c>
      <c r="C584" s="5">
        <v>26834</v>
      </c>
      <c r="D584" s="1">
        <f>LEN(VolumebyClient[[#This Row],[CLID]])</f>
        <v>7</v>
      </c>
      <c r="F584" s="1" t="str">
        <f>INDEX(GeobyClient[GEOID],MATCH(VolumebyClient[[#This Row],[CLID]],GeobyClient[Right],0))</f>
        <v>GEO1003</v>
      </c>
      <c r="G584" s="1" t="str">
        <f>VLOOKUP(VolumebyClient[[#This Row],[Index Match Region ID]],GEONames[[GEOID]:[GEO NAME]],2,FALSE)</f>
        <v>EMEA</v>
      </c>
      <c r="H584" s="1" t="str">
        <f>"Q"&amp;ROUNDUP(MONTH(VolumebyClient[[#This Row],[Date]])/3,0)&amp;" "&amp;YEAR(VolumebyClient[[#This Row],[Date]])</f>
        <v>Q2 2021</v>
      </c>
      <c r="I584" s="1" t="str">
        <f>VLOOKUP(VolumebyClient[[#This Row],[Date]],Quarters[],3,TRUE)</f>
        <v>Q2 2021</v>
      </c>
    </row>
    <row r="585" spans="1:9" x14ac:dyDescent="0.2">
      <c r="A585" s="2" t="s">
        <v>27</v>
      </c>
      <c r="B585" s="10">
        <v>44316</v>
      </c>
      <c r="C585" s="5">
        <v>26840</v>
      </c>
      <c r="D585" s="1">
        <f>LEN(VolumebyClient[[#This Row],[CLID]])</f>
        <v>7</v>
      </c>
      <c r="F585" s="1" t="str">
        <f>INDEX(GeobyClient[GEOID],MATCH(VolumebyClient[[#This Row],[CLID]],GeobyClient[Right],0))</f>
        <v>GEO1003</v>
      </c>
      <c r="G585" s="1" t="str">
        <f>VLOOKUP(VolumebyClient[[#This Row],[Index Match Region ID]],GEONames[[GEOID]:[GEO NAME]],2,FALSE)</f>
        <v>EMEA</v>
      </c>
      <c r="H585" s="1" t="str">
        <f>"Q"&amp;ROUNDUP(MONTH(VolumebyClient[[#This Row],[Date]])/3,0)&amp;" "&amp;YEAR(VolumebyClient[[#This Row],[Date]])</f>
        <v>Q2 2021</v>
      </c>
      <c r="I585" s="1" t="str">
        <f>VLOOKUP(VolumebyClient[[#This Row],[Date]],Quarters[],3,TRUE)</f>
        <v>Q2 2021</v>
      </c>
    </row>
    <row r="586" spans="1:9" x14ac:dyDescent="0.2">
      <c r="A586" s="2" t="s">
        <v>27</v>
      </c>
      <c r="B586" s="10">
        <v>44286</v>
      </c>
      <c r="C586" s="5">
        <v>23553</v>
      </c>
      <c r="D586" s="1">
        <f>LEN(VolumebyClient[[#This Row],[CLID]])</f>
        <v>7</v>
      </c>
      <c r="F586" s="1" t="str">
        <f>INDEX(GeobyClient[GEOID],MATCH(VolumebyClient[[#This Row],[CLID]],GeobyClient[Right],0))</f>
        <v>GEO1003</v>
      </c>
      <c r="G586" s="1" t="str">
        <f>VLOOKUP(VolumebyClient[[#This Row],[Index Match Region ID]],GEONames[[GEOID]:[GEO NAME]],2,FALSE)</f>
        <v>EMEA</v>
      </c>
      <c r="H586" s="1" t="str">
        <f>"Q"&amp;ROUNDUP(MONTH(VolumebyClient[[#This Row],[Date]])/3,0)&amp;" "&amp;YEAR(VolumebyClient[[#This Row],[Date]])</f>
        <v>Q1 2021</v>
      </c>
      <c r="I586" s="1" t="str">
        <f>VLOOKUP(VolumebyClient[[#This Row],[Date]],Quarters[],3,TRUE)</f>
        <v>Q1 2021</v>
      </c>
    </row>
    <row r="587" spans="1:9" x14ac:dyDescent="0.2">
      <c r="A587" s="2" t="s">
        <v>27</v>
      </c>
      <c r="B587" s="10">
        <v>44255</v>
      </c>
      <c r="C587" s="5">
        <v>19839</v>
      </c>
      <c r="D587" s="1">
        <f>LEN(VolumebyClient[[#This Row],[CLID]])</f>
        <v>7</v>
      </c>
      <c r="F587" s="1" t="str">
        <f>INDEX(GeobyClient[GEOID],MATCH(VolumebyClient[[#This Row],[CLID]],GeobyClient[Right],0))</f>
        <v>GEO1003</v>
      </c>
      <c r="G587" s="1" t="str">
        <f>VLOOKUP(VolumebyClient[[#This Row],[Index Match Region ID]],GEONames[[GEOID]:[GEO NAME]],2,FALSE)</f>
        <v>EMEA</v>
      </c>
      <c r="H587" s="1" t="str">
        <f>"Q"&amp;ROUNDUP(MONTH(VolumebyClient[[#This Row],[Date]])/3,0)&amp;" "&amp;YEAR(VolumebyClient[[#This Row],[Date]])</f>
        <v>Q1 2021</v>
      </c>
      <c r="I587" s="1" t="str">
        <f>VLOOKUP(VolumebyClient[[#This Row],[Date]],Quarters[],3,TRUE)</f>
        <v>Q1 2021</v>
      </c>
    </row>
    <row r="588" spans="1:9" x14ac:dyDescent="0.2">
      <c r="A588" s="2" t="s">
        <v>27</v>
      </c>
      <c r="B588" s="10">
        <v>44227</v>
      </c>
      <c r="C588" s="5">
        <v>20221</v>
      </c>
      <c r="D588" s="1">
        <f>LEN(VolumebyClient[[#This Row],[CLID]])</f>
        <v>7</v>
      </c>
      <c r="F588" s="1" t="str">
        <f>INDEX(GeobyClient[GEOID],MATCH(VolumebyClient[[#This Row],[CLID]],GeobyClient[Right],0))</f>
        <v>GEO1003</v>
      </c>
      <c r="G588" s="1" t="str">
        <f>VLOOKUP(VolumebyClient[[#This Row],[Index Match Region ID]],GEONames[[GEOID]:[GEO NAME]],2,FALSE)</f>
        <v>EMEA</v>
      </c>
      <c r="H588" s="1" t="str">
        <f>"Q"&amp;ROUNDUP(MONTH(VolumebyClient[[#This Row],[Date]])/3,0)&amp;" "&amp;YEAR(VolumebyClient[[#This Row],[Date]])</f>
        <v>Q1 2021</v>
      </c>
      <c r="I588" s="1" t="str">
        <f>VLOOKUP(VolumebyClient[[#This Row],[Date]],Quarters[],3,TRUE)</f>
        <v>Q1 2021</v>
      </c>
    </row>
    <row r="589" spans="1:9" x14ac:dyDescent="0.2">
      <c r="A589" s="2" t="s">
        <v>10</v>
      </c>
      <c r="B589" s="10">
        <v>43861</v>
      </c>
      <c r="C589" s="5">
        <v>277</v>
      </c>
      <c r="D589" s="1">
        <f>LEN(VolumebyClient[[#This Row],[CLID]])</f>
        <v>7</v>
      </c>
      <c r="F589" s="1" t="str">
        <f>INDEX(GeobyClient[GEOID],MATCH(VolumebyClient[[#This Row],[CLID]],GeobyClient[Right],0))</f>
        <v>GEO1002</v>
      </c>
      <c r="G589" s="1" t="str">
        <f>VLOOKUP(VolumebyClient[[#This Row],[Index Match Region ID]],GEONames[[GEOID]:[GEO NAME]],2,FALSE)</f>
        <v>APAC</v>
      </c>
      <c r="H589" s="1" t="str">
        <f>"Q"&amp;ROUNDUP(MONTH(VolumebyClient[[#This Row],[Date]])/3,0)&amp;" "&amp;YEAR(VolumebyClient[[#This Row],[Date]])</f>
        <v>Q1 2020</v>
      </c>
      <c r="I589" s="1" t="str">
        <f>VLOOKUP(VolumebyClient[[#This Row],[Date]],Quarters[],3,TRUE)</f>
        <v>Q1 2020</v>
      </c>
    </row>
    <row r="590" spans="1:9" x14ac:dyDescent="0.2">
      <c r="A590" s="2" t="s">
        <v>10</v>
      </c>
      <c r="B590" s="10">
        <v>43890</v>
      </c>
      <c r="C590" s="5">
        <v>244</v>
      </c>
      <c r="D590" s="1">
        <f>LEN(VolumebyClient[[#This Row],[CLID]])</f>
        <v>7</v>
      </c>
      <c r="F590" s="1" t="str">
        <f>INDEX(GeobyClient[GEOID],MATCH(VolumebyClient[[#This Row],[CLID]],GeobyClient[Right],0))</f>
        <v>GEO1002</v>
      </c>
      <c r="G590" s="1" t="str">
        <f>VLOOKUP(VolumebyClient[[#This Row],[Index Match Region ID]],GEONames[[GEOID]:[GEO NAME]],2,FALSE)</f>
        <v>APAC</v>
      </c>
      <c r="H590" s="1" t="str">
        <f>"Q"&amp;ROUNDUP(MONTH(VolumebyClient[[#This Row],[Date]])/3,0)&amp;" "&amp;YEAR(VolumebyClient[[#This Row],[Date]])</f>
        <v>Q1 2020</v>
      </c>
      <c r="I590" s="1" t="str">
        <f>VLOOKUP(VolumebyClient[[#This Row],[Date]],Quarters[],3,TRUE)</f>
        <v>Q1 2020</v>
      </c>
    </row>
    <row r="591" spans="1:9" x14ac:dyDescent="0.2">
      <c r="A591" s="2" t="s">
        <v>10</v>
      </c>
      <c r="B591" s="10">
        <v>43921</v>
      </c>
      <c r="C591" s="5">
        <v>337</v>
      </c>
      <c r="D591" s="1">
        <f>LEN(VolumebyClient[[#This Row],[CLID]])</f>
        <v>7</v>
      </c>
      <c r="F591" s="1" t="str">
        <f>INDEX(GeobyClient[GEOID],MATCH(VolumebyClient[[#This Row],[CLID]],GeobyClient[Right],0))</f>
        <v>GEO1002</v>
      </c>
      <c r="G591" s="1" t="str">
        <f>VLOOKUP(VolumebyClient[[#This Row],[Index Match Region ID]],GEONames[[GEOID]:[GEO NAME]],2,FALSE)</f>
        <v>APAC</v>
      </c>
      <c r="H591" s="1" t="str">
        <f>"Q"&amp;ROUNDUP(MONTH(VolumebyClient[[#This Row],[Date]])/3,0)&amp;" "&amp;YEAR(VolumebyClient[[#This Row],[Date]])</f>
        <v>Q1 2020</v>
      </c>
      <c r="I591" s="1" t="str">
        <f>VLOOKUP(VolumebyClient[[#This Row],[Date]],Quarters[],3,TRUE)</f>
        <v>Q1 2020</v>
      </c>
    </row>
    <row r="592" spans="1:9" x14ac:dyDescent="0.2">
      <c r="A592" s="2" t="s">
        <v>10</v>
      </c>
      <c r="B592" s="10">
        <v>43951</v>
      </c>
      <c r="C592" s="5">
        <v>332</v>
      </c>
      <c r="D592" s="1">
        <f>LEN(VolumebyClient[[#This Row],[CLID]])</f>
        <v>7</v>
      </c>
      <c r="F592" s="1" t="str">
        <f>INDEX(GeobyClient[GEOID],MATCH(VolumebyClient[[#This Row],[CLID]],GeobyClient[Right],0))</f>
        <v>GEO1002</v>
      </c>
      <c r="G592" s="1" t="str">
        <f>VLOOKUP(VolumebyClient[[#This Row],[Index Match Region ID]],GEONames[[GEOID]:[GEO NAME]],2,FALSE)</f>
        <v>APAC</v>
      </c>
      <c r="H592" s="1" t="str">
        <f>"Q"&amp;ROUNDUP(MONTH(VolumebyClient[[#This Row],[Date]])/3,0)&amp;" "&amp;YEAR(VolumebyClient[[#This Row],[Date]])</f>
        <v>Q2 2020</v>
      </c>
      <c r="I592" s="1" t="str">
        <f>VLOOKUP(VolumebyClient[[#This Row],[Date]],Quarters[],3,TRUE)</f>
        <v>Q2 2020</v>
      </c>
    </row>
    <row r="593" spans="1:9" x14ac:dyDescent="0.2">
      <c r="A593" s="2" t="s">
        <v>10</v>
      </c>
      <c r="B593" s="10">
        <v>43982</v>
      </c>
      <c r="C593" s="5">
        <v>362</v>
      </c>
      <c r="D593" s="1">
        <f>LEN(VolumebyClient[[#This Row],[CLID]])</f>
        <v>7</v>
      </c>
      <c r="F593" s="1" t="str">
        <f>INDEX(GeobyClient[GEOID],MATCH(VolumebyClient[[#This Row],[CLID]],GeobyClient[Right],0))</f>
        <v>GEO1002</v>
      </c>
      <c r="G593" s="1" t="str">
        <f>VLOOKUP(VolumebyClient[[#This Row],[Index Match Region ID]],GEONames[[GEOID]:[GEO NAME]],2,FALSE)</f>
        <v>APAC</v>
      </c>
      <c r="H593" s="1" t="str">
        <f>"Q"&amp;ROUNDUP(MONTH(VolumebyClient[[#This Row],[Date]])/3,0)&amp;" "&amp;YEAR(VolumebyClient[[#This Row],[Date]])</f>
        <v>Q2 2020</v>
      </c>
      <c r="I593" s="1" t="str">
        <f>VLOOKUP(VolumebyClient[[#This Row],[Date]],Quarters[],3,TRUE)</f>
        <v>Q2 2020</v>
      </c>
    </row>
    <row r="594" spans="1:9" x14ac:dyDescent="0.2">
      <c r="A594" s="2" t="s">
        <v>10</v>
      </c>
      <c r="B594" s="10">
        <v>44012</v>
      </c>
      <c r="C594" s="5">
        <v>213</v>
      </c>
      <c r="D594" s="1">
        <f>LEN(VolumebyClient[[#This Row],[CLID]])</f>
        <v>7</v>
      </c>
      <c r="F594" s="1" t="str">
        <f>INDEX(GeobyClient[GEOID],MATCH(VolumebyClient[[#This Row],[CLID]],GeobyClient[Right],0))</f>
        <v>GEO1002</v>
      </c>
      <c r="G594" s="1" t="str">
        <f>VLOOKUP(VolumebyClient[[#This Row],[Index Match Region ID]],GEONames[[GEOID]:[GEO NAME]],2,FALSE)</f>
        <v>APAC</v>
      </c>
      <c r="H594" s="1" t="str">
        <f>"Q"&amp;ROUNDUP(MONTH(VolumebyClient[[#This Row],[Date]])/3,0)&amp;" "&amp;YEAR(VolumebyClient[[#This Row],[Date]])</f>
        <v>Q2 2020</v>
      </c>
      <c r="I594" s="1" t="str">
        <f>VLOOKUP(VolumebyClient[[#This Row],[Date]],Quarters[],3,TRUE)</f>
        <v>Q2 2020</v>
      </c>
    </row>
    <row r="595" spans="1:9" x14ac:dyDescent="0.2">
      <c r="A595" s="2" t="s">
        <v>10</v>
      </c>
      <c r="B595" s="10">
        <v>44043</v>
      </c>
      <c r="C595" s="5">
        <v>248</v>
      </c>
      <c r="D595" s="1">
        <f>LEN(VolumebyClient[[#This Row],[CLID]])</f>
        <v>7</v>
      </c>
      <c r="F595" s="1" t="str">
        <f>INDEX(GeobyClient[GEOID],MATCH(VolumebyClient[[#This Row],[CLID]],GeobyClient[Right],0))</f>
        <v>GEO1002</v>
      </c>
      <c r="G595" s="1" t="str">
        <f>VLOOKUP(VolumebyClient[[#This Row],[Index Match Region ID]],GEONames[[GEOID]:[GEO NAME]],2,FALSE)</f>
        <v>APAC</v>
      </c>
      <c r="H595" s="1" t="str">
        <f>"Q"&amp;ROUNDUP(MONTH(VolumebyClient[[#This Row],[Date]])/3,0)&amp;" "&amp;YEAR(VolumebyClient[[#This Row],[Date]])</f>
        <v>Q3 2020</v>
      </c>
      <c r="I595" s="1" t="str">
        <f>VLOOKUP(VolumebyClient[[#This Row],[Date]],Quarters[],3,TRUE)</f>
        <v>Q3 2020</v>
      </c>
    </row>
    <row r="596" spans="1:9" x14ac:dyDescent="0.2">
      <c r="A596" s="2" t="s">
        <v>10</v>
      </c>
      <c r="B596" s="10">
        <v>44074</v>
      </c>
      <c r="C596" s="5">
        <v>156</v>
      </c>
      <c r="D596" s="1">
        <f>LEN(VolumebyClient[[#This Row],[CLID]])</f>
        <v>7</v>
      </c>
      <c r="F596" s="1" t="str">
        <f>INDEX(GeobyClient[GEOID],MATCH(VolumebyClient[[#This Row],[CLID]],GeobyClient[Right],0))</f>
        <v>GEO1002</v>
      </c>
      <c r="G596" s="1" t="str">
        <f>VLOOKUP(VolumebyClient[[#This Row],[Index Match Region ID]],GEONames[[GEOID]:[GEO NAME]],2,FALSE)</f>
        <v>APAC</v>
      </c>
      <c r="H596" s="1" t="str">
        <f>"Q"&amp;ROUNDUP(MONTH(VolumebyClient[[#This Row],[Date]])/3,0)&amp;" "&amp;YEAR(VolumebyClient[[#This Row],[Date]])</f>
        <v>Q3 2020</v>
      </c>
      <c r="I596" s="1" t="str">
        <f>VLOOKUP(VolumebyClient[[#This Row],[Date]],Quarters[],3,TRUE)</f>
        <v>Q3 2020</v>
      </c>
    </row>
    <row r="597" spans="1:9" x14ac:dyDescent="0.2">
      <c r="A597" s="2" t="s">
        <v>10</v>
      </c>
      <c r="B597" s="10">
        <v>44104</v>
      </c>
      <c r="C597" s="5">
        <v>218</v>
      </c>
      <c r="D597" s="1">
        <f>LEN(VolumebyClient[[#This Row],[CLID]])</f>
        <v>7</v>
      </c>
      <c r="F597" s="1" t="str">
        <f>INDEX(GeobyClient[GEOID],MATCH(VolumebyClient[[#This Row],[CLID]],GeobyClient[Right],0))</f>
        <v>GEO1002</v>
      </c>
      <c r="G597" s="1" t="str">
        <f>VLOOKUP(VolumebyClient[[#This Row],[Index Match Region ID]],GEONames[[GEOID]:[GEO NAME]],2,FALSE)</f>
        <v>APAC</v>
      </c>
      <c r="H597" s="1" t="str">
        <f>"Q"&amp;ROUNDUP(MONTH(VolumebyClient[[#This Row],[Date]])/3,0)&amp;" "&amp;YEAR(VolumebyClient[[#This Row],[Date]])</f>
        <v>Q3 2020</v>
      </c>
      <c r="I597" s="1" t="str">
        <f>VLOOKUP(VolumebyClient[[#This Row],[Date]],Quarters[],3,TRUE)</f>
        <v>Q3 2020</v>
      </c>
    </row>
    <row r="598" spans="1:9" x14ac:dyDescent="0.2">
      <c r="A598" s="2" t="s">
        <v>10</v>
      </c>
      <c r="B598" s="10">
        <v>44135</v>
      </c>
      <c r="C598" s="5">
        <v>182</v>
      </c>
      <c r="D598" s="1">
        <f>LEN(VolumebyClient[[#This Row],[CLID]])</f>
        <v>7</v>
      </c>
      <c r="F598" s="1" t="str">
        <f>INDEX(GeobyClient[GEOID],MATCH(VolumebyClient[[#This Row],[CLID]],GeobyClient[Right],0))</f>
        <v>GEO1002</v>
      </c>
      <c r="G598" s="1" t="str">
        <f>VLOOKUP(VolumebyClient[[#This Row],[Index Match Region ID]],GEONames[[GEOID]:[GEO NAME]],2,FALSE)</f>
        <v>APAC</v>
      </c>
      <c r="H598" s="1" t="str">
        <f>"Q"&amp;ROUNDUP(MONTH(VolumebyClient[[#This Row],[Date]])/3,0)&amp;" "&amp;YEAR(VolumebyClient[[#This Row],[Date]])</f>
        <v>Q4 2020</v>
      </c>
      <c r="I598" s="1" t="str">
        <f>VLOOKUP(VolumebyClient[[#This Row],[Date]],Quarters[],3,TRUE)</f>
        <v>Q4 2020</v>
      </c>
    </row>
    <row r="599" spans="1:9" x14ac:dyDescent="0.2">
      <c r="A599" s="2" t="s">
        <v>10</v>
      </c>
      <c r="B599" s="10">
        <v>44165</v>
      </c>
      <c r="C599" s="5">
        <v>276</v>
      </c>
      <c r="D599" s="1">
        <f>LEN(VolumebyClient[[#This Row],[CLID]])</f>
        <v>7</v>
      </c>
      <c r="F599" s="1" t="str">
        <f>INDEX(GeobyClient[GEOID],MATCH(VolumebyClient[[#This Row],[CLID]],GeobyClient[Right],0))</f>
        <v>GEO1002</v>
      </c>
      <c r="G599" s="1" t="str">
        <f>VLOOKUP(VolumebyClient[[#This Row],[Index Match Region ID]],GEONames[[GEOID]:[GEO NAME]],2,FALSE)</f>
        <v>APAC</v>
      </c>
      <c r="H599" s="1" t="str">
        <f>"Q"&amp;ROUNDUP(MONTH(VolumebyClient[[#This Row],[Date]])/3,0)&amp;" "&amp;YEAR(VolumebyClient[[#This Row],[Date]])</f>
        <v>Q4 2020</v>
      </c>
      <c r="I599" s="1" t="str">
        <f>VLOOKUP(VolumebyClient[[#This Row],[Date]],Quarters[],3,TRUE)</f>
        <v>Q4 2020</v>
      </c>
    </row>
    <row r="600" spans="1:9" x14ac:dyDescent="0.2">
      <c r="A600" s="2" t="s">
        <v>10</v>
      </c>
      <c r="B600" s="10">
        <v>44196</v>
      </c>
      <c r="C600" s="5">
        <v>218</v>
      </c>
      <c r="D600" s="1">
        <f>LEN(VolumebyClient[[#This Row],[CLID]])</f>
        <v>7</v>
      </c>
      <c r="F600" s="1" t="str">
        <f>INDEX(GeobyClient[GEOID],MATCH(VolumebyClient[[#This Row],[CLID]],GeobyClient[Right],0))</f>
        <v>GEO1002</v>
      </c>
      <c r="G600" s="1" t="str">
        <f>VLOOKUP(VolumebyClient[[#This Row],[Index Match Region ID]],GEONames[[GEOID]:[GEO NAME]],2,FALSE)</f>
        <v>APAC</v>
      </c>
      <c r="H600" s="1" t="str">
        <f>"Q"&amp;ROUNDUP(MONTH(VolumebyClient[[#This Row],[Date]])/3,0)&amp;" "&amp;YEAR(VolumebyClient[[#This Row],[Date]])</f>
        <v>Q4 2020</v>
      </c>
      <c r="I600" s="1" t="str">
        <f>VLOOKUP(VolumebyClient[[#This Row],[Date]],Quarters[],3,TRUE)</f>
        <v>Q4 2020</v>
      </c>
    </row>
    <row r="601" spans="1:9" x14ac:dyDescent="0.2">
      <c r="A601" s="2" t="s">
        <v>10</v>
      </c>
      <c r="B601" s="10">
        <v>44377</v>
      </c>
      <c r="C601" s="5">
        <v>220</v>
      </c>
      <c r="D601" s="1">
        <f>LEN(VolumebyClient[[#This Row],[CLID]])</f>
        <v>7</v>
      </c>
      <c r="F601" s="1" t="str">
        <f>INDEX(GeobyClient[GEOID],MATCH(VolumebyClient[[#This Row],[CLID]],GeobyClient[Right],0))</f>
        <v>GEO1002</v>
      </c>
      <c r="G601" s="1" t="str">
        <f>VLOOKUP(VolumebyClient[[#This Row],[Index Match Region ID]],GEONames[[GEOID]:[GEO NAME]],2,FALSE)</f>
        <v>APAC</v>
      </c>
      <c r="H601" s="1" t="str">
        <f>"Q"&amp;ROUNDUP(MONTH(VolumebyClient[[#This Row],[Date]])/3,0)&amp;" "&amp;YEAR(VolumebyClient[[#This Row],[Date]])</f>
        <v>Q2 2021</v>
      </c>
      <c r="I601" s="1" t="str">
        <f>VLOOKUP(VolumebyClient[[#This Row],[Date]],Quarters[],3,TRUE)</f>
        <v>Q2 2021</v>
      </c>
    </row>
    <row r="602" spans="1:9" x14ac:dyDescent="0.2">
      <c r="A602" s="2" t="s">
        <v>10</v>
      </c>
      <c r="B602" s="10">
        <v>44347</v>
      </c>
      <c r="C602" s="5">
        <v>370</v>
      </c>
      <c r="D602" s="1">
        <f>LEN(VolumebyClient[[#This Row],[CLID]])</f>
        <v>7</v>
      </c>
      <c r="F602" s="1" t="str">
        <f>INDEX(GeobyClient[GEOID],MATCH(VolumebyClient[[#This Row],[CLID]],GeobyClient[Right],0))</f>
        <v>GEO1002</v>
      </c>
      <c r="G602" s="1" t="str">
        <f>VLOOKUP(VolumebyClient[[#This Row],[Index Match Region ID]],GEONames[[GEOID]:[GEO NAME]],2,FALSE)</f>
        <v>APAC</v>
      </c>
      <c r="H602" s="1" t="str">
        <f>"Q"&amp;ROUNDUP(MONTH(VolumebyClient[[#This Row],[Date]])/3,0)&amp;" "&amp;YEAR(VolumebyClient[[#This Row],[Date]])</f>
        <v>Q2 2021</v>
      </c>
      <c r="I602" s="1" t="str">
        <f>VLOOKUP(VolumebyClient[[#This Row],[Date]],Quarters[],3,TRUE)</f>
        <v>Q2 2021</v>
      </c>
    </row>
    <row r="603" spans="1:9" x14ac:dyDescent="0.2">
      <c r="A603" s="2" t="s">
        <v>10</v>
      </c>
      <c r="B603" s="10">
        <v>44316</v>
      </c>
      <c r="C603" s="5">
        <v>331</v>
      </c>
      <c r="D603" s="1">
        <f>LEN(VolumebyClient[[#This Row],[CLID]])</f>
        <v>7</v>
      </c>
      <c r="F603" s="1" t="str">
        <f>INDEX(GeobyClient[GEOID],MATCH(VolumebyClient[[#This Row],[CLID]],GeobyClient[Right],0))</f>
        <v>GEO1002</v>
      </c>
      <c r="G603" s="1" t="str">
        <f>VLOOKUP(VolumebyClient[[#This Row],[Index Match Region ID]],GEONames[[GEOID]:[GEO NAME]],2,FALSE)</f>
        <v>APAC</v>
      </c>
      <c r="H603" s="1" t="str">
        <f>"Q"&amp;ROUNDUP(MONTH(VolumebyClient[[#This Row],[Date]])/3,0)&amp;" "&amp;YEAR(VolumebyClient[[#This Row],[Date]])</f>
        <v>Q2 2021</v>
      </c>
      <c r="I603" s="1" t="str">
        <f>VLOOKUP(VolumebyClient[[#This Row],[Date]],Quarters[],3,TRUE)</f>
        <v>Q2 2021</v>
      </c>
    </row>
    <row r="604" spans="1:9" x14ac:dyDescent="0.2">
      <c r="A604" s="2" t="s">
        <v>10</v>
      </c>
      <c r="B604" s="10">
        <v>44286</v>
      </c>
      <c r="C604" s="5">
        <v>332</v>
      </c>
      <c r="D604" s="1">
        <f>LEN(VolumebyClient[[#This Row],[CLID]])</f>
        <v>7</v>
      </c>
      <c r="F604" s="1" t="str">
        <f>INDEX(GeobyClient[GEOID],MATCH(VolumebyClient[[#This Row],[CLID]],GeobyClient[Right],0))</f>
        <v>GEO1002</v>
      </c>
      <c r="G604" s="1" t="str">
        <f>VLOOKUP(VolumebyClient[[#This Row],[Index Match Region ID]],GEONames[[GEOID]:[GEO NAME]],2,FALSE)</f>
        <v>APAC</v>
      </c>
      <c r="H604" s="1" t="str">
        <f>"Q"&amp;ROUNDUP(MONTH(VolumebyClient[[#This Row],[Date]])/3,0)&amp;" "&amp;YEAR(VolumebyClient[[#This Row],[Date]])</f>
        <v>Q1 2021</v>
      </c>
      <c r="I604" s="1" t="str">
        <f>VLOOKUP(VolumebyClient[[#This Row],[Date]],Quarters[],3,TRUE)</f>
        <v>Q1 2021</v>
      </c>
    </row>
    <row r="605" spans="1:9" x14ac:dyDescent="0.2">
      <c r="A605" s="2" t="s">
        <v>10</v>
      </c>
      <c r="B605" s="10">
        <v>44255</v>
      </c>
      <c r="C605" s="5">
        <v>250</v>
      </c>
      <c r="D605" s="1">
        <f>LEN(VolumebyClient[[#This Row],[CLID]])</f>
        <v>7</v>
      </c>
      <c r="F605" s="1" t="str">
        <f>INDEX(GeobyClient[GEOID],MATCH(VolumebyClient[[#This Row],[CLID]],GeobyClient[Right],0))</f>
        <v>GEO1002</v>
      </c>
      <c r="G605" s="1" t="str">
        <f>VLOOKUP(VolumebyClient[[#This Row],[Index Match Region ID]],GEONames[[GEOID]:[GEO NAME]],2,FALSE)</f>
        <v>APAC</v>
      </c>
      <c r="H605" s="1" t="str">
        <f>"Q"&amp;ROUNDUP(MONTH(VolumebyClient[[#This Row],[Date]])/3,0)&amp;" "&amp;YEAR(VolumebyClient[[#This Row],[Date]])</f>
        <v>Q1 2021</v>
      </c>
      <c r="I605" s="1" t="str">
        <f>VLOOKUP(VolumebyClient[[#This Row],[Date]],Quarters[],3,TRUE)</f>
        <v>Q1 2021</v>
      </c>
    </row>
    <row r="606" spans="1:9" x14ac:dyDescent="0.2">
      <c r="A606" s="2" t="s">
        <v>10</v>
      </c>
      <c r="B606" s="10">
        <v>44227</v>
      </c>
      <c r="C606" s="5">
        <v>289</v>
      </c>
      <c r="D606" s="1">
        <f>LEN(VolumebyClient[[#This Row],[CLID]])</f>
        <v>7</v>
      </c>
      <c r="F606" s="1" t="str">
        <f>INDEX(GeobyClient[GEOID],MATCH(VolumebyClient[[#This Row],[CLID]],GeobyClient[Right],0))</f>
        <v>GEO1002</v>
      </c>
      <c r="G606" s="1" t="str">
        <f>VLOOKUP(VolumebyClient[[#This Row],[Index Match Region ID]],GEONames[[GEOID]:[GEO NAME]],2,FALSE)</f>
        <v>APAC</v>
      </c>
      <c r="H606" s="1" t="str">
        <f>"Q"&amp;ROUNDUP(MONTH(VolumebyClient[[#This Row],[Date]])/3,0)&amp;" "&amp;YEAR(VolumebyClient[[#This Row],[Date]])</f>
        <v>Q1 2021</v>
      </c>
      <c r="I606" s="1" t="str">
        <f>VLOOKUP(VolumebyClient[[#This Row],[Date]],Quarters[],3,TRUE)</f>
        <v>Q1 2021</v>
      </c>
    </row>
    <row r="607" spans="1:9" x14ac:dyDescent="0.2">
      <c r="A607" s="2" t="s">
        <v>46</v>
      </c>
      <c r="B607" s="10">
        <v>43861</v>
      </c>
      <c r="C607" s="5">
        <v>1586</v>
      </c>
      <c r="D607" s="1">
        <f>LEN(VolumebyClient[[#This Row],[CLID]])</f>
        <v>7</v>
      </c>
      <c r="F607" s="1" t="str">
        <f>INDEX(GeobyClient[GEOID],MATCH(VolumebyClient[[#This Row],[CLID]],GeobyClient[Right],0))</f>
        <v>GEO1001</v>
      </c>
      <c r="G607" s="1" t="str">
        <f>VLOOKUP(VolumebyClient[[#This Row],[Index Match Region ID]],GEONames[[GEOID]:[GEO NAME]],2,FALSE)</f>
        <v>NAM</v>
      </c>
      <c r="H607" s="1" t="str">
        <f>"Q"&amp;ROUNDUP(MONTH(VolumebyClient[[#This Row],[Date]])/3,0)&amp;" "&amp;YEAR(VolumebyClient[[#This Row],[Date]])</f>
        <v>Q1 2020</v>
      </c>
      <c r="I607" s="1" t="str">
        <f>VLOOKUP(VolumebyClient[[#This Row],[Date]],Quarters[],3,TRUE)</f>
        <v>Q1 2020</v>
      </c>
    </row>
    <row r="608" spans="1:9" x14ac:dyDescent="0.2">
      <c r="A608" s="2" t="s">
        <v>46</v>
      </c>
      <c r="B608" s="10">
        <v>43890</v>
      </c>
      <c r="C608" s="5">
        <v>1412</v>
      </c>
      <c r="D608" s="1">
        <f>LEN(VolumebyClient[[#This Row],[CLID]])</f>
        <v>7</v>
      </c>
      <c r="F608" s="1" t="str">
        <f>INDEX(GeobyClient[GEOID],MATCH(VolumebyClient[[#This Row],[CLID]],GeobyClient[Right],0))</f>
        <v>GEO1001</v>
      </c>
      <c r="G608" s="1" t="str">
        <f>VLOOKUP(VolumebyClient[[#This Row],[Index Match Region ID]],GEONames[[GEOID]:[GEO NAME]],2,FALSE)</f>
        <v>NAM</v>
      </c>
      <c r="H608" s="1" t="str">
        <f>"Q"&amp;ROUNDUP(MONTH(VolumebyClient[[#This Row],[Date]])/3,0)&amp;" "&amp;YEAR(VolumebyClient[[#This Row],[Date]])</f>
        <v>Q1 2020</v>
      </c>
      <c r="I608" s="1" t="str">
        <f>VLOOKUP(VolumebyClient[[#This Row],[Date]],Quarters[],3,TRUE)</f>
        <v>Q1 2020</v>
      </c>
    </row>
    <row r="609" spans="1:9" x14ac:dyDescent="0.2">
      <c r="A609" s="2" t="s">
        <v>46</v>
      </c>
      <c r="B609" s="10">
        <v>43921</v>
      </c>
      <c r="C609" s="5">
        <v>1936</v>
      </c>
      <c r="D609" s="1">
        <f>LEN(VolumebyClient[[#This Row],[CLID]])</f>
        <v>7</v>
      </c>
      <c r="F609" s="1" t="str">
        <f>INDEX(GeobyClient[GEOID],MATCH(VolumebyClient[[#This Row],[CLID]],GeobyClient[Right],0))</f>
        <v>GEO1001</v>
      </c>
      <c r="G609" s="1" t="str">
        <f>VLOOKUP(VolumebyClient[[#This Row],[Index Match Region ID]],GEONames[[GEOID]:[GEO NAME]],2,FALSE)</f>
        <v>NAM</v>
      </c>
      <c r="H609" s="1" t="str">
        <f>"Q"&amp;ROUNDUP(MONTH(VolumebyClient[[#This Row],[Date]])/3,0)&amp;" "&amp;YEAR(VolumebyClient[[#This Row],[Date]])</f>
        <v>Q1 2020</v>
      </c>
      <c r="I609" s="1" t="str">
        <f>VLOOKUP(VolumebyClient[[#This Row],[Date]],Quarters[],3,TRUE)</f>
        <v>Q1 2020</v>
      </c>
    </row>
    <row r="610" spans="1:9" x14ac:dyDescent="0.2">
      <c r="A610" s="2" t="s">
        <v>46</v>
      </c>
      <c r="B610" s="10">
        <v>43951</v>
      </c>
      <c r="C610" s="5">
        <v>1939</v>
      </c>
      <c r="D610" s="1">
        <f>LEN(VolumebyClient[[#This Row],[CLID]])</f>
        <v>7</v>
      </c>
      <c r="F610" s="1" t="str">
        <f>INDEX(GeobyClient[GEOID],MATCH(VolumebyClient[[#This Row],[CLID]],GeobyClient[Right],0))</f>
        <v>GEO1001</v>
      </c>
      <c r="G610" s="1" t="str">
        <f>VLOOKUP(VolumebyClient[[#This Row],[Index Match Region ID]],GEONames[[GEOID]:[GEO NAME]],2,FALSE)</f>
        <v>NAM</v>
      </c>
      <c r="H610" s="1" t="str">
        <f>"Q"&amp;ROUNDUP(MONTH(VolumebyClient[[#This Row],[Date]])/3,0)&amp;" "&amp;YEAR(VolumebyClient[[#This Row],[Date]])</f>
        <v>Q2 2020</v>
      </c>
      <c r="I610" s="1" t="str">
        <f>VLOOKUP(VolumebyClient[[#This Row],[Date]],Quarters[],3,TRUE)</f>
        <v>Q2 2020</v>
      </c>
    </row>
    <row r="611" spans="1:9" x14ac:dyDescent="0.2">
      <c r="A611" s="2" t="s">
        <v>46</v>
      </c>
      <c r="B611" s="10">
        <v>43982</v>
      </c>
      <c r="C611" s="5">
        <v>2112</v>
      </c>
      <c r="D611" s="1">
        <f>LEN(VolumebyClient[[#This Row],[CLID]])</f>
        <v>7</v>
      </c>
      <c r="F611" s="1" t="str">
        <f>INDEX(GeobyClient[GEOID],MATCH(VolumebyClient[[#This Row],[CLID]],GeobyClient[Right],0))</f>
        <v>GEO1001</v>
      </c>
      <c r="G611" s="1" t="str">
        <f>VLOOKUP(VolumebyClient[[#This Row],[Index Match Region ID]],GEONames[[GEOID]:[GEO NAME]],2,FALSE)</f>
        <v>NAM</v>
      </c>
      <c r="H611" s="1" t="str">
        <f>"Q"&amp;ROUNDUP(MONTH(VolumebyClient[[#This Row],[Date]])/3,0)&amp;" "&amp;YEAR(VolumebyClient[[#This Row],[Date]])</f>
        <v>Q2 2020</v>
      </c>
      <c r="I611" s="1" t="str">
        <f>VLOOKUP(VolumebyClient[[#This Row],[Date]],Quarters[],3,TRUE)</f>
        <v>Q2 2020</v>
      </c>
    </row>
    <row r="612" spans="1:9" x14ac:dyDescent="0.2">
      <c r="A612" s="2" t="s">
        <v>46</v>
      </c>
      <c r="B612" s="10">
        <v>44012</v>
      </c>
      <c r="C612" s="5">
        <v>1230</v>
      </c>
      <c r="D612" s="1">
        <f>LEN(VolumebyClient[[#This Row],[CLID]])</f>
        <v>7</v>
      </c>
      <c r="F612" s="1" t="str">
        <f>INDEX(GeobyClient[GEOID],MATCH(VolumebyClient[[#This Row],[CLID]],GeobyClient[Right],0))</f>
        <v>GEO1001</v>
      </c>
      <c r="G612" s="1" t="str">
        <f>VLOOKUP(VolumebyClient[[#This Row],[Index Match Region ID]],GEONames[[GEOID]:[GEO NAME]],2,FALSE)</f>
        <v>NAM</v>
      </c>
      <c r="H612" s="1" t="str">
        <f>"Q"&amp;ROUNDUP(MONTH(VolumebyClient[[#This Row],[Date]])/3,0)&amp;" "&amp;YEAR(VolumebyClient[[#This Row],[Date]])</f>
        <v>Q2 2020</v>
      </c>
      <c r="I612" s="1" t="str">
        <f>VLOOKUP(VolumebyClient[[#This Row],[Date]],Quarters[],3,TRUE)</f>
        <v>Q2 2020</v>
      </c>
    </row>
    <row r="613" spans="1:9" x14ac:dyDescent="0.2">
      <c r="A613" s="2" t="s">
        <v>46</v>
      </c>
      <c r="B613" s="10">
        <v>44043</v>
      </c>
      <c r="C613" s="5">
        <v>1407</v>
      </c>
      <c r="D613" s="1">
        <f>LEN(VolumebyClient[[#This Row],[CLID]])</f>
        <v>7</v>
      </c>
      <c r="F613" s="1" t="str">
        <f>INDEX(GeobyClient[GEOID],MATCH(VolumebyClient[[#This Row],[CLID]],GeobyClient[Right],0))</f>
        <v>GEO1001</v>
      </c>
      <c r="G613" s="1" t="str">
        <f>VLOOKUP(VolumebyClient[[#This Row],[Index Match Region ID]],GEONames[[GEOID]:[GEO NAME]],2,FALSE)</f>
        <v>NAM</v>
      </c>
      <c r="H613" s="1" t="str">
        <f>"Q"&amp;ROUNDUP(MONTH(VolumebyClient[[#This Row],[Date]])/3,0)&amp;" "&amp;YEAR(VolumebyClient[[#This Row],[Date]])</f>
        <v>Q3 2020</v>
      </c>
      <c r="I613" s="1" t="str">
        <f>VLOOKUP(VolumebyClient[[#This Row],[Date]],Quarters[],3,TRUE)</f>
        <v>Q3 2020</v>
      </c>
    </row>
    <row r="614" spans="1:9" x14ac:dyDescent="0.2">
      <c r="A614" s="2" t="s">
        <v>46</v>
      </c>
      <c r="B614" s="10">
        <v>44074</v>
      </c>
      <c r="C614" s="5">
        <v>880</v>
      </c>
      <c r="D614" s="1">
        <f>LEN(VolumebyClient[[#This Row],[CLID]])</f>
        <v>7</v>
      </c>
      <c r="F614" s="1" t="str">
        <f>INDEX(GeobyClient[GEOID],MATCH(VolumebyClient[[#This Row],[CLID]],GeobyClient[Right],0))</f>
        <v>GEO1001</v>
      </c>
      <c r="G614" s="1" t="str">
        <f>VLOOKUP(VolumebyClient[[#This Row],[Index Match Region ID]],GEONames[[GEOID]:[GEO NAME]],2,FALSE)</f>
        <v>NAM</v>
      </c>
      <c r="H614" s="1" t="str">
        <f>"Q"&amp;ROUNDUP(MONTH(VolumebyClient[[#This Row],[Date]])/3,0)&amp;" "&amp;YEAR(VolumebyClient[[#This Row],[Date]])</f>
        <v>Q3 2020</v>
      </c>
      <c r="I614" s="1" t="str">
        <f>VLOOKUP(VolumebyClient[[#This Row],[Date]],Quarters[],3,TRUE)</f>
        <v>Q3 2020</v>
      </c>
    </row>
    <row r="615" spans="1:9" x14ac:dyDescent="0.2">
      <c r="A615" s="2" t="s">
        <v>46</v>
      </c>
      <c r="B615" s="10">
        <v>44104</v>
      </c>
      <c r="C615" s="5">
        <v>1233</v>
      </c>
      <c r="D615" s="1">
        <f>LEN(VolumebyClient[[#This Row],[CLID]])</f>
        <v>7</v>
      </c>
      <c r="F615" s="1" t="str">
        <f>INDEX(GeobyClient[GEOID],MATCH(VolumebyClient[[#This Row],[CLID]],GeobyClient[Right],0))</f>
        <v>GEO1001</v>
      </c>
      <c r="G615" s="1" t="str">
        <f>VLOOKUP(VolumebyClient[[#This Row],[Index Match Region ID]],GEONames[[GEOID]:[GEO NAME]],2,FALSE)</f>
        <v>NAM</v>
      </c>
      <c r="H615" s="1" t="str">
        <f>"Q"&amp;ROUNDUP(MONTH(VolumebyClient[[#This Row],[Date]])/3,0)&amp;" "&amp;YEAR(VolumebyClient[[#This Row],[Date]])</f>
        <v>Q3 2020</v>
      </c>
      <c r="I615" s="1" t="str">
        <f>VLOOKUP(VolumebyClient[[#This Row],[Date]],Quarters[],3,TRUE)</f>
        <v>Q3 2020</v>
      </c>
    </row>
    <row r="616" spans="1:9" x14ac:dyDescent="0.2">
      <c r="A616" s="2" t="s">
        <v>46</v>
      </c>
      <c r="B616" s="10">
        <v>44135</v>
      </c>
      <c r="C616" s="5">
        <v>1059</v>
      </c>
      <c r="D616" s="1">
        <f>LEN(VolumebyClient[[#This Row],[CLID]])</f>
        <v>7</v>
      </c>
      <c r="F616" s="1" t="str">
        <f>INDEX(GeobyClient[GEOID],MATCH(VolumebyClient[[#This Row],[CLID]],GeobyClient[Right],0))</f>
        <v>GEO1001</v>
      </c>
      <c r="G616" s="1" t="str">
        <f>VLOOKUP(VolumebyClient[[#This Row],[Index Match Region ID]],GEONames[[GEOID]:[GEO NAME]],2,FALSE)</f>
        <v>NAM</v>
      </c>
      <c r="H616" s="1" t="str">
        <f>"Q"&amp;ROUNDUP(MONTH(VolumebyClient[[#This Row],[Date]])/3,0)&amp;" "&amp;YEAR(VolumebyClient[[#This Row],[Date]])</f>
        <v>Q4 2020</v>
      </c>
      <c r="I616" s="1" t="str">
        <f>VLOOKUP(VolumebyClient[[#This Row],[Date]],Quarters[],3,TRUE)</f>
        <v>Q4 2020</v>
      </c>
    </row>
    <row r="617" spans="1:9" x14ac:dyDescent="0.2">
      <c r="A617" s="2" t="s">
        <v>46</v>
      </c>
      <c r="B617" s="10">
        <v>44165</v>
      </c>
      <c r="C617" s="5">
        <v>1586</v>
      </c>
      <c r="D617" s="1">
        <f>LEN(VolumebyClient[[#This Row],[CLID]])</f>
        <v>7</v>
      </c>
      <c r="F617" s="1" t="str">
        <f>INDEX(GeobyClient[GEOID],MATCH(VolumebyClient[[#This Row],[CLID]],GeobyClient[Right],0))</f>
        <v>GEO1001</v>
      </c>
      <c r="G617" s="1" t="str">
        <f>VLOOKUP(VolumebyClient[[#This Row],[Index Match Region ID]],GEONames[[GEOID]:[GEO NAME]],2,FALSE)</f>
        <v>NAM</v>
      </c>
      <c r="H617" s="1" t="str">
        <f>"Q"&amp;ROUNDUP(MONTH(VolumebyClient[[#This Row],[Date]])/3,0)&amp;" "&amp;YEAR(VolumebyClient[[#This Row],[Date]])</f>
        <v>Q4 2020</v>
      </c>
      <c r="I617" s="1" t="str">
        <f>VLOOKUP(VolumebyClient[[#This Row],[Date]],Quarters[],3,TRUE)</f>
        <v>Q4 2020</v>
      </c>
    </row>
    <row r="618" spans="1:9" x14ac:dyDescent="0.2">
      <c r="A618" s="2" t="s">
        <v>46</v>
      </c>
      <c r="B618" s="10">
        <v>44196</v>
      </c>
      <c r="C618" s="5">
        <v>1230</v>
      </c>
      <c r="D618" s="1">
        <f>LEN(VolumebyClient[[#This Row],[CLID]])</f>
        <v>7</v>
      </c>
      <c r="F618" s="1" t="str">
        <f>INDEX(GeobyClient[GEOID],MATCH(VolumebyClient[[#This Row],[CLID]],GeobyClient[Right],0))</f>
        <v>GEO1001</v>
      </c>
      <c r="G618" s="1" t="str">
        <f>VLOOKUP(VolumebyClient[[#This Row],[Index Match Region ID]],GEONames[[GEOID]:[GEO NAME]],2,FALSE)</f>
        <v>NAM</v>
      </c>
      <c r="H618" s="1" t="str">
        <f>"Q"&amp;ROUNDUP(MONTH(VolumebyClient[[#This Row],[Date]])/3,0)&amp;" "&amp;YEAR(VolumebyClient[[#This Row],[Date]])</f>
        <v>Q4 2020</v>
      </c>
      <c r="I618" s="1" t="str">
        <f>VLOOKUP(VolumebyClient[[#This Row],[Date]],Quarters[],3,TRUE)</f>
        <v>Q4 2020</v>
      </c>
    </row>
    <row r="619" spans="1:9" x14ac:dyDescent="0.2">
      <c r="A619" s="2" t="s">
        <v>46</v>
      </c>
      <c r="B619" s="10">
        <v>44377</v>
      </c>
      <c r="C619" s="5">
        <v>1291</v>
      </c>
      <c r="D619" s="1">
        <f>LEN(VolumebyClient[[#This Row],[CLID]])</f>
        <v>7</v>
      </c>
      <c r="F619" s="1" t="str">
        <f>INDEX(GeobyClient[GEOID],MATCH(VolumebyClient[[#This Row],[CLID]],GeobyClient[Right],0))</f>
        <v>GEO1001</v>
      </c>
      <c r="G619" s="1" t="str">
        <f>VLOOKUP(VolumebyClient[[#This Row],[Index Match Region ID]],GEONames[[GEOID]:[GEO NAME]],2,FALSE)</f>
        <v>NAM</v>
      </c>
      <c r="H619" s="1" t="str">
        <f>"Q"&amp;ROUNDUP(MONTH(VolumebyClient[[#This Row],[Date]])/3,0)&amp;" "&amp;YEAR(VolumebyClient[[#This Row],[Date]])</f>
        <v>Q2 2021</v>
      </c>
      <c r="I619" s="1" t="str">
        <f>VLOOKUP(VolumebyClient[[#This Row],[Date]],Quarters[],3,TRUE)</f>
        <v>Q2 2021</v>
      </c>
    </row>
    <row r="620" spans="1:9" x14ac:dyDescent="0.2">
      <c r="A620" s="2" t="s">
        <v>46</v>
      </c>
      <c r="B620" s="10">
        <v>44347</v>
      </c>
      <c r="C620" s="5">
        <v>2150</v>
      </c>
      <c r="D620" s="1">
        <f>LEN(VolumebyClient[[#This Row],[CLID]])</f>
        <v>7</v>
      </c>
      <c r="F620" s="1" t="str">
        <f>INDEX(GeobyClient[GEOID],MATCH(VolumebyClient[[#This Row],[CLID]],GeobyClient[Right],0))</f>
        <v>GEO1001</v>
      </c>
      <c r="G620" s="1" t="str">
        <f>VLOOKUP(VolumebyClient[[#This Row],[Index Match Region ID]],GEONames[[GEOID]:[GEO NAME]],2,FALSE)</f>
        <v>NAM</v>
      </c>
      <c r="H620" s="1" t="str">
        <f>"Q"&amp;ROUNDUP(MONTH(VolumebyClient[[#This Row],[Date]])/3,0)&amp;" "&amp;YEAR(VolumebyClient[[#This Row],[Date]])</f>
        <v>Q2 2021</v>
      </c>
      <c r="I620" s="1" t="str">
        <f>VLOOKUP(VolumebyClient[[#This Row],[Date]],Quarters[],3,TRUE)</f>
        <v>Q2 2021</v>
      </c>
    </row>
    <row r="621" spans="1:9" x14ac:dyDescent="0.2">
      <c r="A621" s="2" t="s">
        <v>46</v>
      </c>
      <c r="B621" s="10">
        <v>44316</v>
      </c>
      <c r="C621" s="5">
        <v>1991</v>
      </c>
      <c r="D621" s="1">
        <f>LEN(VolumebyClient[[#This Row],[CLID]])</f>
        <v>7</v>
      </c>
      <c r="F621" s="1" t="str">
        <f>INDEX(GeobyClient[GEOID],MATCH(VolumebyClient[[#This Row],[CLID]],GeobyClient[Right],0))</f>
        <v>GEO1001</v>
      </c>
      <c r="G621" s="1" t="str">
        <f>VLOOKUP(VolumebyClient[[#This Row],[Index Match Region ID]],GEONames[[GEOID]:[GEO NAME]],2,FALSE)</f>
        <v>NAM</v>
      </c>
      <c r="H621" s="1" t="str">
        <f>"Q"&amp;ROUNDUP(MONTH(VolumebyClient[[#This Row],[Date]])/3,0)&amp;" "&amp;YEAR(VolumebyClient[[#This Row],[Date]])</f>
        <v>Q2 2021</v>
      </c>
      <c r="I621" s="1" t="str">
        <f>VLOOKUP(VolumebyClient[[#This Row],[Date]],Quarters[],3,TRUE)</f>
        <v>Q2 2021</v>
      </c>
    </row>
    <row r="622" spans="1:9" x14ac:dyDescent="0.2">
      <c r="A622" s="2" t="s">
        <v>46</v>
      </c>
      <c r="B622" s="10">
        <v>44286</v>
      </c>
      <c r="C622" s="5">
        <v>2032</v>
      </c>
      <c r="D622" s="1">
        <f>LEN(VolumebyClient[[#This Row],[CLID]])</f>
        <v>7</v>
      </c>
      <c r="F622" s="1" t="str">
        <f>INDEX(GeobyClient[GEOID],MATCH(VolumebyClient[[#This Row],[CLID]],GeobyClient[Right],0))</f>
        <v>GEO1001</v>
      </c>
      <c r="G622" s="1" t="str">
        <f>VLOOKUP(VolumebyClient[[#This Row],[Index Match Region ID]],GEONames[[GEOID]:[GEO NAME]],2,FALSE)</f>
        <v>NAM</v>
      </c>
      <c r="H622" s="1" t="str">
        <f>"Q"&amp;ROUNDUP(MONTH(VolumebyClient[[#This Row],[Date]])/3,0)&amp;" "&amp;YEAR(VolumebyClient[[#This Row],[Date]])</f>
        <v>Q1 2021</v>
      </c>
      <c r="I622" s="1" t="str">
        <f>VLOOKUP(VolumebyClient[[#This Row],[Date]],Quarters[],3,TRUE)</f>
        <v>Q1 2021</v>
      </c>
    </row>
    <row r="623" spans="1:9" x14ac:dyDescent="0.2">
      <c r="A623" s="2" t="s">
        <v>46</v>
      </c>
      <c r="B623" s="10">
        <v>44255</v>
      </c>
      <c r="C623" s="5">
        <v>1438</v>
      </c>
      <c r="D623" s="1">
        <f>LEN(VolumebyClient[[#This Row],[CLID]])</f>
        <v>7</v>
      </c>
      <c r="F623" s="1" t="str">
        <f>INDEX(GeobyClient[GEOID],MATCH(VolumebyClient[[#This Row],[CLID]],GeobyClient[Right],0))</f>
        <v>GEO1001</v>
      </c>
      <c r="G623" s="1" t="str">
        <f>VLOOKUP(VolumebyClient[[#This Row],[Index Match Region ID]],GEONames[[GEOID]:[GEO NAME]],2,FALSE)</f>
        <v>NAM</v>
      </c>
      <c r="H623" s="1" t="str">
        <f>"Q"&amp;ROUNDUP(MONTH(VolumebyClient[[#This Row],[Date]])/3,0)&amp;" "&amp;YEAR(VolumebyClient[[#This Row],[Date]])</f>
        <v>Q1 2021</v>
      </c>
      <c r="I623" s="1" t="str">
        <f>VLOOKUP(VolumebyClient[[#This Row],[Date]],Quarters[],3,TRUE)</f>
        <v>Q1 2021</v>
      </c>
    </row>
    <row r="624" spans="1:9" x14ac:dyDescent="0.2">
      <c r="A624" s="2" t="s">
        <v>46</v>
      </c>
      <c r="B624" s="10">
        <v>44227</v>
      </c>
      <c r="C624" s="5">
        <v>1569</v>
      </c>
      <c r="D624" s="1">
        <f>LEN(VolumebyClient[[#This Row],[CLID]])</f>
        <v>7</v>
      </c>
      <c r="F624" s="1" t="str">
        <f>INDEX(GeobyClient[GEOID],MATCH(VolumebyClient[[#This Row],[CLID]],GeobyClient[Right],0))</f>
        <v>GEO1001</v>
      </c>
      <c r="G624" s="1" t="str">
        <f>VLOOKUP(VolumebyClient[[#This Row],[Index Match Region ID]],GEONames[[GEOID]:[GEO NAME]],2,FALSE)</f>
        <v>NAM</v>
      </c>
      <c r="H624" s="1" t="str">
        <f>"Q"&amp;ROUNDUP(MONTH(VolumebyClient[[#This Row],[Date]])/3,0)&amp;" "&amp;YEAR(VolumebyClient[[#This Row],[Date]])</f>
        <v>Q1 2021</v>
      </c>
      <c r="I624" s="1" t="str">
        <f>VLOOKUP(VolumebyClient[[#This Row],[Date]],Quarters[],3,TRUE)</f>
        <v>Q1 2021</v>
      </c>
    </row>
    <row r="625" spans="1:9" x14ac:dyDescent="0.2">
      <c r="A625" s="2" t="s">
        <v>40</v>
      </c>
      <c r="B625" s="10">
        <v>43861</v>
      </c>
      <c r="C625" s="5">
        <v>1211</v>
      </c>
      <c r="D625" s="1">
        <f>LEN(VolumebyClient[[#This Row],[CLID]])</f>
        <v>7</v>
      </c>
      <c r="F625" s="1" t="str">
        <f>INDEX(GeobyClient[GEOID],MATCH(VolumebyClient[[#This Row],[CLID]],GeobyClient[Right],0))</f>
        <v>GEO1004</v>
      </c>
      <c r="G625" s="1" t="str">
        <f>VLOOKUP(VolumebyClient[[#This Row],[Index Match Region ID]],GEONames[[GEOID]:[GEO NAME]],2,FALSE)</f>
        <v>LATAM</v>
      </c>
      <c r="H625" s="1" t="str">
        <f>"Q"&amp;ROUNDUP(MONTH(VolumebyClient[[#This Row],[Date]])/3,0)&amp;" "&amp;YEAR(VolumebyClient[[#This Row],[Date]])</f>
        <v>Q1 2020</v>
      </c>
      <c r="I625" s="1" t="str">
        <f>VLOOKUP(VolumebyClient[[#This Row],[Date]],Quarters[],3,TRUE)</f>
        <v>Q1 2020</v>
      </c>
    </row>
    <row r="626" spans="1:9" x14ac:dyDescent="0.2">
      <c r="A626" s="2" t="s">
        <v>40</v>
      </c>
      <c r="B626" s="10">
        <v>43890</v>
      </c>
      <c r="C626" s="5">
        <v>1358</v>
      </c>
      <c r="D626" s="1">
        <f>LEN(VolumebyClient[[#This Row],[CLID]])</f>
        <v>7</v>
      </c>
      <c r="F626" s="1" t="str">
        <f>INDEX(GeobyClient[GEOID],MATCH(VolumebyClient[[#This Row],[CLID]],GeobyClient[Right],0))</f>
        <v>GEO1004</v>
      </c>
      <c r="G626" s="1" t="str">
        <f>VLOOKUP(VolumebyClient[[#This Row],[Index Match Region ID]],GEONames[[GEOID]:[GEO NAME]],2,FALSE)</f>
        <v>LATAM</v>
      </c>
      <c r="H626" s="1" t="str">
        <f>"Q"&amp;ROUNDUP(MONTH(VolumebyClient[[#This Row],[Date]])/3,0)&amp;" "&amp;YEAR(VolumebyClient[[#This Row],[Date]])</f>
        <v>Q1 2020</v>
      </c>
      <c r="I626" s="1" t="str">
        <f>VLOOKUP(VolumebyClient[[#This Row],[Date]],Quarters[],3,TRUE)</f>
        <v>Q1 2020</v>
      </c>
    </row>
    <row r="627" spans="1:9" x14ac:dyDescent="0.2">
      <c r="A627" s="2" t="s">
        <v>40</v>
      </c>
      <c r="B627" s="10">
        <v>43921</v>
      </c>
      <c r="C627" s="5">
        <v>1507</v>
      </c>
      <c r="D627" s="1">
        <f>LEN(VolumebyClient[[#This Row],[CLID]])</f>
        <v>7</v>
      </c>
      <c r="F627" s="1" t="str">
        <f>INDEX(GeobyClient[GEOID],MATCH(VolumebyClient[[#This Row],[CLID]],GeobyClient[Right],0))</f>
        <v>GEO1004</v>
      </c>
      <c r="G627" s="1" t="str">
        <f>VLOOKUP(VolumebyClient[[#This Row],[Index Match Region ID]],GEONames[[GEOID]:[GEO NAME]],2,FALSE)</f>
        <v>LATAM</v>
      </c>
      <c r="H627" s="1" t="str">
        <f>"Q"&amp;ROUNDUP(MONTH(VolumebyClient[[#This Row],[Date]])/3,0)&amp;" "&amp;YEAR(VolumebyClient[[#This Row],[Date]])</f>
        <v>Q1 2020</v>
      </c>
      <c r="I627" s="1" t="str">
        <f>VLOOKUP(VolumebyClient[[#This Row],[Date]],Quarters[],3,TRUE)</f>
        <v>Q1 2020</v>
      </c>
    </row>
    <row r="628" spans="1:9" x14ac:dyDescent="0.2">
      <c r="A628" s="2" t="s">
        <v>40</v>
      </c>
      <c r="B628" s="10">
        <v>43951</v>
      </c>
      <c r="C628" s="5">
        <v>1812</v>
      </c>
      <c r="D628" s="1">
        <f>LEN(VolumebyClient[[#This Row],[CLID]])</f>
        <v>7</v>
      </c>
      <c r="F628" s="1" t="str">
        <f>INDEX(GeobyClient[GEOID],MATCH(VolumebyClient[[#This Row],[CLID]],GeobyClient[Right],0))</f>
        <v>GEO1004</v>
      </c>
      <c r="G628" s="1" t="str">
        <f>VLOOKUP(VolumebyClient[[#This Row],[Index Match Region ID]],GEONames[[GEOID]:[GEO NAME]],2,FALSE)</f>
        <v>LATAM</v>
      </c>
      <c r="H628" s="1" t="str">
        <f>"Q"&amp;ROUNDUP(MONTH(VolumebyClient[[#This Row],[Date]])/3,0)&amp;" "&amp;YEAR(VolumebyClient[[#This Row],[Date]])</f>
        <v>Q2 2020</v>
      </c>
      <c r="I628" s="1" t="str">
        <f>VLOOKUP(VolumebyClient[[#This Row],[Date]],Quarters[],3,TRUE)</f>
        <v>Q2 2020</v>
      </c>
    </row>
    <row r="629" spans="1:9" x14ac:dyDescent="0.2">
      <c r="A629" s="2" t="s">
        <v>40</v>
      </c>
      <c r="B629" s="10">
        <v>43982</v>
      </c>
      <c r="C629" s="5">
        <v>1663</v>
      </c>
      <c r="D629" s="1">
        <f>LEN(VolumebyClient[[#This Row],[CLID]])</f>
        <v>7</v>
      </c>
      <c r="F629" s="1" t="str">
        <f>INDEX(GeobyClient[GEOID],MATCH(VolumebyClient[[#This Row],[CLID]],GeobyClient[Right],0))</f>
        <v>GEO1004</v>
      </c>
      <c r="G629" s="1" t="str">
        <f>VLOOKUP(VolumebyClient[[#This Row],[Index Match Region ID]],GEONames[[GEOID]:[GEO NAME]],2,FALSE)</f>
        <v>LATAM</v>
      </c>
      <c r="H629" s="1" t="str">
        <f>"Q"&amp;ROUNDUP(MONTH(VolumebyClient[[#This Row],[Date]])/3,0)&amp;" "&amp;YEAR(VolumebyClient[[#This Row],[Date]])</f>
        <v>Q2 2020</v>
      </c>
      <c r="I629" s="1" t="str">
        <f>VLOOKUP(VolumebyClient[[#This Row],[Date]],Quarters[],3,TRUE)</f>
        <v>Q2 2020</v>
      </c>
    </row>
    <row r="630" spans="1:9" x14ac:dyDescent="0.2">
      <c r="A630" s="2" t="s">
        <v>40</v>
      </c>
      <c r="B630" s="10">
        <v>44012</v>
      </c>
      <c r="C630" s="5">
        <v>1205</v>
      </c>
      <c r="D630" s="1">
        <f>LEN(VolumebyClient[[#This Row],[CLID]])</f>
        <v>7</v>
      </c>
      <c r="F630" s="1" t="str">
        <f>INDEX(GeobyClient[GEOID],MATCH(VolumebyClient[[#This Row],[CLID]],GeobyClient[Right],0))</f>
        <v>GEO1004</v>
      </c>
      <c r="G630" s="1" t="str">
        <f>VLOOKUP(VolumebyClient[[#This Row],[Index Match Region ID]],GEONames[[GEOID]:[GEO NAME]],2,FALSE)</f>
        <v>LATAM</v>
      </c>
      <c r="H630" s="1" t="str">
        <f>"Q"&amp;ROUNDUP(MONTH(VolumebyClient[[#This Row],[Date]])/3,0)&amp;" "&amp;YEAR(VolumebyClient[[#This Row],[Date]])</f>
        <v>Q2 2020</v>
      </c>
      <c r="I630" s="1" t="str">
        <f>VLOOKUP(VolumebyClient[[#This Row],[Date]],Quarters[],3,TRUE)</f>
        <v>Q2 2020</v>
      </c>
    </row>
    <row r="631" spans="1:9" x14ac:dyDescent="0.2">
      <c r="A631" s="2" t="s">
        <v>40</v>
      </c>
      <c r="B631" s="10">
        <v>44043</v>
      </c>
      <c r="C631" s="5">
        <v>1059</v>
      </c>
      <c r="D631" s="1">
        <f>LEN(VolumebyClient[[#This Row],[CLID]])</f>
        <v>7</v>
      </c>
      <c r="F631" s="1" t="str">
        <f>INDEX(GeobyClient[GEOID],MATCH(VolumebyClient[[#This Row],[CLID]],GeobyClient[Right],0))</f>
        <v>GEO1004</v>
      </c>
      <c r="G631" s="1" t="str">
        <f>VLOOKUP(VolumebyClient[[#This Row],[Index Match Region ID]],GEONames[[GEOID]:[GEO NAME]],2,FALSE)</f>
        <v>LATAM</v>
      </c>
      <c r="H631" s="1" t="str">
        <f>"Q"&amp;ROUNDUP(MONTH(VolumebyClient[[#This Row],[Date]])/3,0)&amp;" "&amp;YEAR(VolumebyClient[[#This Row],[Date]])</f>
        <v>Q3 2020</v>
      </c>
      <c r="I631" s="1" t="str">
        <f>VLOOKUP(VolumebyClient[[#This Row],[Date]],Quarters[],3,TRUE)</f>
        <v>Q3 2020</v>
      </c>
    </row>
    <row r="632" spans="1:9" x14ac:dyDescent="0.2">
      <c r="A632" s="2" t="s">
        <v>40</v>
      </c>
      <c r="B632" s="10">
        <v>44074</v>
      </c>
      <c r="C632" s="5">
        <v>910</v>
      </c>
      <c r="D632" s="1">
        <f>LEN(VolumebyClient[[#This Row],[CLID]])</f>
        <v>7</v>
      </c>
      <c r="F632" s="1" t="str">
        <f>INDEX(GeobyClient[GEOID],MATCH(VolumebyClient[[#This Row],[CLID]],GeobyClient[Right],0))</f>
        <v>GEO1004</v>
      </c>
      <c r="G632" s="1" t="str">
        <f>VLOOKUP(VolumebyClient[[#This Row],[Index Match Region ID]],GEONames[[GEOID]:[GEO NAME]],2,FALSE)</f>
        <v>LATAM</v>
      </c>
      <c r="H632" s="1" t="str">
        <f>"Q"&amp;ROUNDUP(MONTH(VolumebyClient[[#This Row],[Date]])/3,0)&amp;" "&amp;YEAR(VolumebyClient[[#This Row],[Date]])</f>
        <v>Q3 2020</v>
      </c>
      <c r="I632" s="1" t="str">
        <f>VLOOKUP(VolumebyClient[[#This Row],[Date]],Quarters[],3,TRUE)</f>
        <v>Q3 2020</v>
      </c>
    </row>
    <row r="633" spans="1:9" x14ac:dyDescent="0.2">
      <c r="A633" s="2" t="s">
        <v>40</v>
      </c>
      <c r="B633" s="10">
        <v>44104</v>
      </c>
      <c r="C633" s="5">
        <v>910</v>
      </c>
      <c r="D633" s="1">
        <f>LEN(VolumebyClient[[#This Row],[CLID]])</f>
        <v>7</v>
      </c>
      <c r="F633" s="1" t="str">
        <f>INDEX(GeobyClient[GEOID],MATCH(VolumebyClient[[#This Row],[CLID]],GeobyClient[Right],0))</f>
        <v>GEO1004</v>
      </c>
      <c r="G633" s="1" t="str">
        <f>VLOOKUP(VolumebyClient[[#This Row],[Index Match Region ID]],GEONames[[GEOID]:[GEO NAME]],2,FALSE)</f>
        <v>LATAM</v>
      </c>
      <c r="H633" s="1" t="str">
        <f>"Q"&amp;ROUNDUP(MONTH(VolumebyClient[[#This Row],[Date]])/3,0)&amp;" "&amp;YEAR(VolumebyClient[[#This Row],[Date]])</f>
        <v>Q3 2020</v>
      </c>
      <c r="I633" s="1" t="str">
        <f>VLOOKUP(VolumebyClient[[#This Row],[Date]],Quarters[],3,TRUE)</f>
        <v>Q3 2020</v>
      </c>
    </row>
    <row r="634" spans="1:9" x14ac:dyDescent="0.2">
      <c r="A634" s="2" t="s">
        <v>40</v>
      </c>
      <c r="B634" s="10">
        <v>44135</v>
      </c>
      <c r="C634" s="5">
        <v>1060</v>
      </c>
      <c r="D634" s="1">
        <f>LEN(VolumebyClient[[#This Row],[CLID]])</f>
        <v>7</v>
      </c>
      <c r="F634" s="1" t="str">
        <f>INDEX(GeobyClient[GEOID],MATCH(VolumebyClient[[#This Row],[CLID]],GeobyClient[Right],0))</f>
        <v>GEO1004</v>
      </c>
      <c r="G634" s="1" t="str">
        <f>VLOOKUP(VolumebyClient[[#This Row],[Index Match Region ID]],GEONames[[GEOID]:[GEO NAME]],2,FALSE)</f>
        <v>LATAM</v>
      </c>
      <c r="H634" s="1" t="str">
        <f>"Q"&amp;ROUNDUP(MONTH(VolumebyClient[[#This Row],[Date]])/3,0)&amp;" "&amp;YEAR(VolumebyClient[[#This Row],[Date]])</f>
        <v>Q4 2020</v>
      </c>
      <c r="I634" s="1" t="str">
        <f>VLOOKUP(VolumebyClient[[#This Row],[Date]],Quarters[],3,TRUE)</f>
        <v>Q4 2020</v>
      </c>
    </row>
    <row r="635" spans="1:9" x14ac:dyDescent="0.2">
      <c r="A635" s="2" t="s">
        <v>40</v>
      </c>
      <c r="B635" s="10">
        <v>44165</v>
      </c>
      <c r="C635" s="5">
        <v>1205</v>
      </c>
      <c r="D635" s="1">
        <f>LEN(VolumebyClient[[#This Row],[CLID]])</f>
        <v>7</v>
      </c>
      <c r="F635" s="1" t="str">
        <f>INDEX(GeobyClient[GEOID],MATCH(VolumebyClient[[#This Row],[CLID]],GeobyClient[Right],0))</f>
        <v>GEO1004</v>
      </c>
      <c r="G635" s="1" t="str">
        <f>VLOOKUP(VolumebyClient[[#This Row],[Index Match Region ID]],GEONames[[GEOID]:[GEO NAME]],2,FALSE)</f>
        <v>LATAM</v>
      </c>
      <c r="H635" s="1" t="str">
        <f>"Q"&amp;ROUNDUP(MONTH(VolumebyClient[[#This Row],[Date]])/3,0)&amp;" "&amp;YEAR(VolumebyClient[[#This Row],[Date]])</f>
        <v>Q4 2020</v>
      </c>
      <c r="I635" s="1" t="str">
        <f>VLOOKUP(VolumebyClient[[#This Row],[Date]],Quarters[],3,TRUE)</f>
        <v>Q4 2020</v>
      </c>
    </row>
    <row r="636" spans="1:9" x14ac:dyDescent="0.2">
      <c r="A636" s="2" t="s">
        <v>40</v>
      </c>
      <c r="B636" s="10">
        <v>44196</v>
      </c>
      <c r="C636" s="5">
        <v>1211</v>
      </c>
      <c r="D636" s="1">
        <f>LEN(VolumebyClient[[#This Row],[CLID]])</f>
        <v>7</v>
      </c>
      <c r="F636" s="1" t="str">
        <f>INDEX(GeobyClient[GEOID],MATCH(VolumebyClient[[#This Row],[CLID]],GeobyClient[Right],0))</f>
        <v>GEO1004</v>
      </c>
      <c r="G636" s="1" t="str">
        <f>VLOOKUP(VolumebyClient[[#This Row],[Index Match Region ID]],GEONames[[GEOID]:[GEO NAME]],2,FALSE)</f>
        <v>LATAM</v>
      </c>
      <c r="H636" s="1" t="str">
        <f>"Q"&amp;ROUNDUP(MONTH(VolumebyClient[[#This Row],[Date]])/3,0)&amp;" "&amp;YEAR(VolumebyClient[[#This Row],[Date]])</f>
        <v>Q4 2020</v>
      </c>
      <c r="I636" s="1" t="str">
        <f>VLOOKUP(VolumebyClient[[#This Row],[Date]],Quarters[],3,TRUE)</f>
        <v>Q4 2020</v>
      </c>
    </row>
    <row r="637" spans="1:9" x14ac:dyDescent="0.2">
      <c r="A637" s="2" t="s">
        <v>40</v>
      </c>
      <c r="B637" s="10">
        <v>44377</v>
      </c>
      <c r="C637" s="5">
        <v>1193</v>
      </c>
      <c r="D637" s="1">
        <f>LEN(VolumebyClient[[#This Row],[CLID]])</f>
        <v>7</v>
      </c>
      <c r="F637" s="1" t="str">
        <f>INDEX(GeobyClient[GEOID],MATCH(VolumebyClient[[#This Row],[CLID]],GeobyClient[Right],0))</f>
        <v>GEO1004</v>
      </c>
      <c r="G637" s="1" t="str">
        <f>VLOOKUP(VolumebyClient[[#This Row],[Index Match Region ID]],GEONames[[GEOID]:[GEO NAME]],2,FALSE)</f>
        <v>LATAM</v>
      </c>
      <c r="H637" s="1" t="str">
        <f>"Q"&amp;ROUNDUP(MONTH(VolumebyClient[[#This Row],[Date]])/3,0)&amp;" "&amp;YEAR(VolumebyClient[[#This Row],[Date]])</f>
        <v>Q2 2021</v>
      </c>
      <c r="I637" s="1" t="str">
        <f>VLOOKUP(VolumebyClient[[#This Row],[Date]],Quarters[],3,TRUE)</f>
        <v>Q2 2021</v>
      </c>
    </row>
    <row r="638" spans="1:9" x14ac:dyDescent="0.2">
      <c r="A638" s="2" t="s">
        <v>40</v>
      </c>
      <c r="B638" s="10">
        <v>44347</v>
      </c>
      <c r="C638" s="5">
        <v>1694</v>
      </c>
      <c r="D638" s="1">
        <f>LEN(VolumebyClient[[#This Row],[CLID]])</f>
        <v>7</v>
      </c>
      <c r="F638" s="1" t="str">
        <f>INDEX(GeobyClient[GEOID],MATCH(VolumebyClient[[#This Row],[CLID]],GeobyClient[Right],0))</f>
        <v>GEO1004</v>
      </c>
      <c r="G638" s="1" t="str">
        <f>VLOOKUP(VolumebyClient[[#This Row],[Index Match Region ID]],GEONames[[GEOID]:[GEO NAME]],2,FALSE)</f>
        <v>LATAM</v>
      </c>
      <c r="H638" s="1" t="str">
        <f>"Q"&amp;ROUNDUP(MONTH(VolumebyClient[[#This Row],[Date]])/3,0)&amp;" "&amp;YEAR(VolumebyClient[[#This Row],[Date]])</f>
        <v>Q2 2021</v>
      </c>
      <c r="I638" s="1" t="str">
        <f>VLOOKUP(VolumebyClient[[#This Row],[Date]],Quarters[],3,TRUE)</f>
        <v>Q2 2021</v>
      </c>
    </row>
    <row r="639" spans="1:9" x14ac:dyDescent="0.2">
      <c r="A639" s="2" t="s">
        <v>40</v>
      </c>
      <c r="B639" s="10">
        <v>44316</v>
      </c>
      <c r="C639" s="5">
        <v>1791</v>
      </c>
      <c r="D639" s="1">
        <f>LEN(VolumebyClient[[#This Row],[CLID]])</f>
        <v>7</v>
      </c>
      <c r="F639" s="1" t="str">
        <f>INDEX(GeobyClient[GEOID],MATCH(VolumebyClient[[#This Row],[CLID]],GeobyClient[Right],0))</f>
        <v>GEO1004</v>
      </c>
      <c r="G639" s="1" t="str">
        <f>VLOOKUP(VolumebyClient[[#This Row],[Index Match Region ID]],GEONames[[GEOID]:[GEO NAME]],2,FALSE)</f>
        <v>LATAM</v>
      </c>
      <c r="H639" s="1" t="str">
        <f>"Q"&amp;ROUNDUP(MONTH(VolumebyClient[[#This Row],[Date]])/3,0)&amp;" "&amp;YEAR(VolumebyClient[[#This Row],[Date]])</f>
        <v>Q2 2021</v>
      </c>
      <c r="I639" s="1" t="str">
        <f>VLOOKUP(VolumebyClient[[#This Row],[Date]],Quarters[],3,TRUE)</f>
        <v>Q2 2021</v>
      </c>
    </row>
    <row r="640" spans="1:9" x14ac:dyDescent="0.2">
      <c r="A640" s="2" t="s">
        <v>40</v>
      </c>
      <c r="B640" s="10">
        <v>44286</v>
      </c>
      <c r="C640" s="5">
        <v>1568</v>
      </c>
      <c r="D640" s="1">
        <f>LEN(VolumebyClient[[#This Row],[CLID]])</f>
        <v>7</v>
      </c>
      <c r="F640" s="1" t="str">
        <f>INDEX(GeobyClient[GEOID],MATCH(VolumebyClient[[#This Row],[CLID]],GeobyClient[Right],0))</f>
        <v>GEO1004</v>
      </c>
      <c r="G640" s="1" t="str">
        <f>VLOOKUP(VolumebyClient[[#This Row],[Index Match Region ID]],GEONames[[GEOID]:[GEO NAME]],2,FALSE)</f>
        <v>LATAM</v>
      </c>
      <c r="H640" s="1" t="str">
        <f>"Q"&amp;ROUNDUP(MONTH(VolumebyClient[[#This Row],[Date]])/3,0)&amp;" "&amp;YEAR(VolumebyClient[[#This Row],[Date]])</f>
        <v>Q1 2021</v>
      </c>
      <c r="I640" s="1" t="str">
        <f>VLOOKUP(VolumebyClient[[#This Row],[Date]],Quarters[],3,TRUE)</f>
        <v>Q1 2021</v>
      </c>
    </row>
    <row r="641" spans="1:9" x14ac:dyDescent="0.2">
      <c r="A641" s="2" t="s">
        <v>40</v>
      </c>
      <c r="B641" s="10">
        <v>44255</v>
      </c>
      <c r="C641" s="5">
        <v>1399</v>
      </c>
      <c r="D641" s="1">
        <f>LEN(VolumebyClient[[#This Row],[CLID]])</f>
        <v>7</v>
      </c>
      <c r="F641" s="1" t="str">
        <f>INDEX(GeobyClient[GEOID],MATCH(VolumebyClient[[#This Row],[CLID]],GeobyClient[Right],0))</f>
        <v>GEO1004</v>
      </c>
      <c r="G641" s="1" t="str">
        <f>VLOOKUP(VolumebyClient[[#This Row],[Index Match Region ID]],GEONames[[GEOID]:[GEO NAME]],2,FALSE)</f>
        <v>LATAM</v>
      </c>
      <c r="H641" s="1" t="str">
        <f>"Q"&amp;ROUNDUP(MONTH(VolumebyClient[[#This Row],[Date]])/3,0)&amp;" "&amp;YEAR(VolumebyClient[[#This Row],[Date]])</f>
        <v>Q1 2021</v>
      </c>
      <c r="I641" s="1" t="str">
        <f>VLOOKUP(VolumebyClient[[#This Row],[Date]],Quarters[],3,TRUE)</f>
        <v>Q1 2021</v>
      </c>
    </row>
    <row r="642" spans="1:9" x14ac:dyDescent="0.2">
      <c r="A642" s="2" t="s">
        <v>40</v>
      </c>
      <c r="B642" s="10">
        <v>44227</v>
      </c>
      <c r="C642" s="5">
        <v>1255</v>
      </c>
      <c r="D642" s="1">
        <f>LEN(VolumebyClient[[#This Row],[CLID]])</f>
        <v>7</v>
      </c>
      <c r="F642" s="1" t="str">
        <f>INDEX(GeobyClient[GEOID],MATCH(VolumebyClient[[#This Row],[CLID]],GeobyClient[Right],0))</f>
        <v>GEO1004</v>
      </c>
      <c r="G642" s="1" t="str">
        <f>VLOOKUP(VolumebyClient[[#This Row],[Index Match Region ID]],GEONames[[GEOID]:[GEO NAME]],2,FALSE)</f>
        <v>LATAM</v>
      </c>
      <c r="H642" s="1" t="str">
        <f>"Q"&amp;ROUNDUP(MONTH(VolumebyClient[[#This Row],[Date]])/3,0)&amp;" "&amp;YEAR(VolumebyClient[[#This Row],[Date]])</f>
        <v>Q1 2021</v>
      </c>
      <c r="I642" s="1" t="str">
        <f>VLOOKUP(VolumebyClient[[#This Row],[Date]],Quarters[],3,TRUE)</f>
        <v>Q1 2021</v>
      </c>
    </row>
    <row r="643" spans="1:9" x14ac:dyDescent="0.2">
      <c r="A643" s="2" t="s">
        <v>2</v>
      </c>
      <c r="B643" s="10">
        <v>43861</v>
      </c>
      <c r="C643" s="5">
        <v>53</v>
      </c>
      <c r="D643" s="1">
        <f>LEN(VolumebyClient[[#This Row],[CLID]])</f>
        <v>7</v>
      </c>
      <c r="F643" s="1" t="str">
        <f>INDEX(GeobyClient[GEOID],MATCH(VolumebyClient[[#This Row],[CLID]],GeobyClient[Right],0))</f>
        <v>GEO1002</v>
      </c>
      <c r="G643" s="1" t="str">
        <f>VLOOKUP(VolumebyClient[[#This Row],[Index Match Region ID]],GEONames[[GEOID]:[GEO NAME]],2,FALSE)</f>
        <v>APAC</v>
      </c>
      <c r="H643" s="1" t="str">
        <f>"Q"&amp;ROUNDUP(MONTH(VolumebyClient[[#This Row],[Date]])/3,0)&amp;" "&amp;YEAR(VolumebyClient[[#This Row],[Date]])</f>
        <v>Q1 2020</v>
      </c>
      <c r="I643" s="1" t="str">
        <f>VLOOKUP(VolumebyClient[[#This Row],[Date]],Quarters[],3,TRUE)</f>
        <v>Q1 2020</v>
      </c>
    </row>
    <row r="644" spans="1:9" x14ac:dyDescent="0.2">
      <c r="A644" s="2" t="s">
        <v>2</v>
      </c>
      <c r="B644" s="10">
        <v>43890</v>
      </c>
      <c r="C644" s="5">
        <v>40</v>
      </c>
      <c r="D644" s="1">
        <f>LEN(VolumebyClient[[#This Row],[CLID]])</f>
        <v>7</v>
      </c>
      <c r="F644" s="1" t="str">
        <f>INDEX(GeobyClient[GEOID],MATCH(VolumebyClient[[#This Row],[CLID]],GeobyClient[Right],0))</f>
        <v>GEO1002</v>
      </c>
      <c r="G644" s="1" t="str">
        <f>VLOOKUP(VolumebyClient[[#This Row],[Index Match Region ID]],GEONames[[GEOID]:[GEO NAME]],2,FALSE)</f>
        <v>APAC</v>
      </c>
      <c r="H644" s="1" t="str">
        <f>"Q"&amp;ROUNDUP(MONTH(VolumebyClient[[#This Row],[Date]])/3,0)&amp;" "&amp;YEAR(VolumebyClient[[#This Row],[Date]])</f>
        <v>Q1 2020</v>
      </c>
      <c r="I644" s="1" t="str">
        <f>VLOOKUP(VolumebyClient[[#This Row],[Date]],Quarters[],3,TRUE)</f>
        <v>Q1 2020</v>
      </c>
    </row>
    <row r="645" spans="1:9" x14ac:dyDescent="0.2">
      <c r="A645" s="2" t="s">
        <v>2</v>
      </c>
      <c r="B645" s="10">
        <v>43921</v>
      </c>
      <c r="C645" s="5">
        <v>65</v>
      </c>
      <c r="D645" s="1">
        <f>LEN(VolumebyClient[[#This Row],[CLID]])</f>
        <v>7</v>
      </c>
      <c r="F645" s="1" t="str">
        <f>INDEX(GeobyClient[GEOID],MATCH(VolumebyClient[[#This Row],[CLID]],GeobyClient[Right],0))</f>
        <v>GEO1002</v>
      </c>
      <c r="G645" s="1" t="str">
        <f>VLOOKUP(VolumebyClient[[#This Row],[Index Match Region ID]],GEONames[[GEOID]:[GEO NAME]],2,FALSE)</f>
        <v>APAC</v>
      </c>
      <c r="H645" s="1" t="str">
        <f>"Q"&amp;ROUNDUP(MONTH(VolumebyClient[[#This Row],[Date]])/3,0)&amp;" "&amp;YEAR(VolumebyClient[[#This Row],[Date]])</f>
        <v>Q1 2020</v>
      </c>
      <c r="I645" s="1" t="str">
        <f>VLOOKUP(VolumebyClient[[#This Row],[Date]],Quarters[],3,TRUE)</f>
        <v>Q1 2020</v>
      </c>
    </row>
    <row r="646" spans="1:9" x14ac:dyDescent="0.2">
      <c r="A646" s="2" t="s">
        <v>2</v>
      </c>
      <c r="B646" s="10">
        <v>43951</v>
      </c>
      <c r="C646" s="5">
        <v>56</v>
      </c>
      <c r="D646" s="1">
        <f>LEN(VolumebyClient[[#This Row],[CLID]])</f>
        <v>7</v>
      </c>
      <c r="F646" s="1" t="str">
        <f>INDEX(GeobyClient[GEOID],MATCH(VolumebyClient[[#This Row],[CLID]],GeobyClient[Right],0))</f>
        <v>GEO1002</v>
      </c>
      <c r="G646" s="1" t="str">
        <f>VLOOKUP(VolumebyClient[[#This Row],[Index Match Region ID]],GEONames[[GEOID]:[GEO NAME]],2,FALSE)</f>
        <v>APAC</v>
      </c>
      <c r="H646" s="1" t="str">
        <f>"Q"&amp;ROUNDUP(MONTH(VolumebyClient[[#This Row],[Date]])/3,0)&amp;" "&amp;YEAR(VolumebyClient[[#This Row],[Date]])</f>
        <v>Q2 2020</v>
      </c>
      <c r="I646" s="1" t="str">
        <f>VLOOKUP(VolumebyClient[[#This Row],[Date]],Quarters[],3,TRUE)</f>
        <v>Q2 2020</v>
      </c>
    </row>
    <row r="647" spans="1:9" x14ac:dyDescent="0.2">
      <c r="A647" s="2" t="s">
        <v>2</v>
      </c>
      <c r="B647" s="10">
        <v>43982</v>
      </c>
      <c r="C647" s="5">
        <v>65</v>
      </c>
      <c r="D647" s="1">
        <f>LEN(VolumebyClient[[#This Row],[CLID]])</f>
        <v>7</v>
      </c>
      <c r="F647" s="1" t="str">
        <f>INDEX(GeobyClient[GEOID],MATCH(VolumebyClient[[#This Row],[CLID]],GeobyClient[Right],0))</f>
        <v>GEO1002</v>
      </c>
      <c r="G647" s="1" t="str">
        <f>VLOOKUP(VolumebyClient[[#This Row],[Index Match Region ID]],GEONames[[GEOID]:[GEO NAME]],2,FALSE)</f>
        <v>APAC</v>
      </c>
      <c r="H647" s="1" t="str">
        <f>"Q"&amp;ROUNDUP(MONTH(VolumebyClient[[#This Row],[Date]])/3,0)&amp;" "&amp;YEAR(VolumebyClient[[#This Row],[Date]])</f>
        <v>Q2 2020</v>
      </c>
      <c r="I647" s="1" t="str">
        <f>VLOOKUP(VolumebyClient[[#This Row],[Date]],Quarters[],3,TRUE)</f>
        <v>Q2 2020</v>
      </c>
    </row>
    <row r="648" spans="1:9" x14ac:dyDescent="0.2">
      <c r="A648" s="2" t="s">
        <v>2</v>
      </c>
      <c r="B648" s="10">
        <v>44012</v>
      </c>
      <c r="C648" s="5">
        <v>34</v>
      </c>
      <c r="D648" s="1">
        <f>LEN(VolumebyClient[[#This Row],[CLID]])</f>
        <v>7</v>
      </c>
      <c r="F648" s="1" t="str">
        <f>INDEX(GeobyClient[GEOID],MATCH(VolumebyClient[[#This Row],[CLID]],GeobyClient[Right],0))</f>
        <v>GEO1002</v>
      </c>
      <c r="G648" s="1" t="str">
        <f>VLOOKUP(VolumebyClient[[#This Row],[Index Match Region ID]],GEONames[[GEOID]:[GEO NAME]],2,FALSE)</f>
        <v>APAC</v>
      </c>
      <c r="H648" s="1" t="str">
        <f>"Q"&amp;ROUNDUP(MONTH(VolumebyClient[[#This Row],[Date]])/3,0)&amp;" "&amp;YEAR(VolumebyClient[[#This Row],[Date]])</f>
        <v>Q2 2020</v>
      </c>
      <c r="I648" s="1" t="str">
        <f>VLOOKUP(VolumebyClient[[#This Row],[Date]],Quarters[],3,TRUE)</f>
        <v>Q2 2020</v>
      </c>
    </row>
    <row r="649" spans="1:9" x14ac:dyDescent="0.2">
      <c r="A649" s="2" t="s">
        <v>2</v>
      </c>
      <c r="B649" s="10">
        <v>44043</v>
      </c>
      <c r="C649" s="5">
        <v>50</v>
      </c>
      <c r="D649" s="1">
        <f>LEN(VolumebyClient[[#This Row],[CLID]])</f>
        <v>7</v>
      </c>
      <c r="F649" s="1" t="str">
        <f>INDEX(GeobyClient[GEOID],MATCH(VolumebyClient[[#This Row],[CLID]],GeobyClient[Right],0))</f>
        <v>GEO1002</v>
      </c>
      <c r="G649" s="1" t="str">
        <f>VLOOKUP(VolumebyClient[[#This Row],[Index Match Region ID]],GEONames[[GEOID]:[GEO NAME]],2,FALSE)</f>
        <v>APAC</v>
      </c>
      <c r="H649" s="1" t="str">
        <f>"Q"&amp;ROUNDUP(MONTH(VolumebyClient[[#This Row],[Date]])/3,0)&amp;" "&amp;YEAR(VolumebyClient[[#This Row],[Date]])</f>
        <v>Q3 2020</v>
      </c>
      <c r="I649" s="1" t="str">
        <f>VLOOKUP(VolumebyClient[[#This Row],[Date]],Quarters[],3,TRUE)</f>
        <v>Q3 2020</v>
      </c>
    </row>
    <row r="650" spans="1:9" x14ac:dyDescent="0.2">
      <c r="A650" s="2" t="s">
        <v>2</v>
      </c>
      <c r="B650" s="10">
        <v>44074</v>
      </c>
      <c r="C650" s="5">
        <v>26</v>
      </c>
      <c r="D650" s="1">
        <f>LEN(VolumebyClient[[#This Row],[CLID]])</f>
        <v>7</v>
      </c>
      <c r="F650" s="1" t="str">
        <f>INDEX(GeobyClient[GEOID],MATCH(VolumebyClient[[#This Row],[CLID]],GeobyClient[Right],0))</f>
        <v>GEO1002</v>
      </c>
      <c r="G650" s="1" t="str">
        <f>VLOOKUP(VolumebyClient[[#This Row],[Index Match Region ID]],GEONames[[GEOID]:[GEO NAME]],2,FALSE)</f>
        <v>APAC</v>
      </c>
      <c r="H650" s="1" t="str">
        <f>"Q"&amp;ROUNDUP(MONTH(VolumebyClient[[#This Row],[Date]])/3,0)&amp;" "&amp;YEAR(VolumebyClient[[#This Row],[Date]])</f>
        <v>Q3 2020</v>
      </c>
      <c r="I650" s="1" t="str">
        <f>VLOOKUP(VolumebyClient[[#This Row],[Date]],Quarters[],3,TRUE)</f>
        <v>Q3 2020</v>
      </c>
    </row>
    <row r="651" spans="1:9" x14ac:dyDescent="0.2">
      <c r="A651" s="2" t="s">
        <v>2</v>
      </c>
      <c r="B651" s="10">
        <v>44104</v>
      </c>
      <c r="C651" s="5">
        <v>43</v>
      </c>
      <c r="D651" s="1">
        <f>LEN(VolumebyClient[[#This Row],[CLID]])</f>
        <v>7</v>
      </c>
      <c r="F651" s="1" t="str">
        <f>INDEX(GeobyClient[GEOID],MATCH(VolumebyClient[[#This Row],[CLID]],GeobyClient[Right],0))</f>
        <v>GEO1002</v>
      </c>
      <c r="G651" s="1" t="str">
        <f>VLOOKUP(VolumebyClient[[#This Row],[Index Match Region ID]],GEONames[[GEOID]:[GEO NAME]],2,FALSE)</f>
        <v>APAC</v>
      </c>
      <c r="H651" s="1" t="str">
        <f>"Q"&amp;ROUNDUP(MONTH(VolumebyClient[[#This Row],[Date]])/3,0)&amp;" "&amp;YEAR(VolumebyClient[[#This Row],[Date]])</f>
        <v>Q3 2020</v>
      </c>
      <c r="I651" s="1" t="str">
        <f>VLOOKUP(VolumebyClient[[#This Row],[Date]],Quarters[],3,TRUE)</f>
        <v>Q3 2020</v>
      </c>
    </row>
    <row r="652" spans="1:9" x14ac:dyDescent="0.2">
      <c r="A652" s="2" t="s">
        <v>2</v>
      </c>
      <c r="B652" s="10">
        <v>44135</v>
      </c>
      <c r="C652" s="5">
        <v>32</v>
      </c>
      <c r="D652" s="1">
        <f>LEN(VolumebyClient[[#This Row],[CLID]])</f>
        <v>7</v>
      </c>
      <c r="F652" s="1" t="str">
        <f>INDEX(GeobyClient[GEOID],MATCH(VolumebyClient[[#This Row],[CLID]],GeobyClient[Right],0))</f>
        <v>GEO1002</v>
      </c>
      <c r="G652" s="1" t="str">
        <f>VLOOKUP(VolumebyClient[[#This Row],[Index Match Region ID]],GEONames[[GEOID]:[GEO NAME]],2,FALSE)</f>
        <v>APAC</v>
      </c>
      <c r="H652" s="1" t="str">
        <f>"Q"&amp;ROUNDUP(MONTH(VolumebyClient[[#This Row],[Date]])/3,0)&amp;" "&amp;YEAR(VolumebyClient[[#This Row],[Date]])</f>
        <v>Q4 2020</v>
      </c>
      <c r="I652" s="1" t="str">
        <f>VLOOKUP(VolumebyClient[[#This Row],[Date]],Quarters[],3,TRUE)</f>
        <v>Q4 2020</v>
      </c>
    </row>
    <row r="653" spans="1:9" x14ac:dyDescent="0.2">
      <c r="A653" s="2" t="s">
        <v>2</v>
      </c>
      <c r="B653" s="10">
        <v>44165</v>
      </c>
      <c r="C653" s="5">
        <v>54</v>
      </c>
      <c r="D653" s="1">
        <f>LEN(VolumebyClient[[#This Row],[CLID]])</f>
        <v>7</v>
      </c>
      <c r="F653" s="1" t="str">
        <f>INDEX(GeobyClient[GEOID],MATCH(VolumebyClient[[#This Row],[CLID]],GeobyClient[Right],0))</f>
        <v>GEO1002</v>
      </c>
      <c r="G653" s="1" t="str">
        <f>VLOOKUP(VolumebyClient[[#This Row],[Index Match Region ID]],GEONames[[GEOID]:[GEO NAME]],2,FALSE)</f>
        <v>APAC</v>
      </c>
      <c r="H653" s="1" t="str">
        <f>"Q"&amp;ROUNDUP(MONTH(VolumebyClient[[#This Row],[Date]])/3,0)&amp;" "&amp;YEAR(VolumebyClient[[#This Row],[Date]])</f>
        <v>Q4 2020</v>
      </c>
      <c r="I653" s="1" t="str">
        <f>VLOOKUP(VolumebyClient[[#This Row],[Date]],Quarters[],3,TRUE)</f>
        <v>Q4 2020</v>
      </c>
    </row>
    <row r="654" spans="1:9" x14ac:dyDescent="0.2">
      <c r="A654" s="2" t="s">
        <v>2</v>
      </c>
      <c r="B654" s="10">
        <v>44196</v>
      </c>
      <c r="C654" s="5">
        <v>38</v>
      </c>
      <c r="D654" s="1">
        <f>LEN(VolumebyClient[[#This Row],[CLID]])</f>
        <v>7</v>
      </c>
      <c r="F654" s="1" t="str">
        <f>INDEX(GeobyClient[GEOID],MATCH(VolumebyClient[[#This Row],[CLID]],GeobyClient[Right],0))</f>
        <v>GEO1002</v>
      </c>
      <c r="G654" s="1" t="str">
        <f>VLOOKUP(VolumebyClient[[#This Row],[Index Match Region ID]],GEONames[[GEOID]:[GEO NAME]],2,FALSE)</f>
        <v>APAC</v>
      </c>
      <c r="H654" s="1" t="str">
        <f>"Q"&amp;ROUNDUP(MONTH(VolumebyClient[[#This Row],[Date]])/3,0)&amp;" "&amp;YEAR(VolumebyClient[[#This Row],[Date]])</f>
        <v>Q4 2020</v>
      </c>
      <c r="I654" s="1" t="str">
        <f>VLOOKUP(VolumebyClient[[#This Row],[Date]],Quarters[],3,TRUE)</f>
        <v>Q4 2020</v>
      </c>
    </row>
    <row r="655" spans="1:9" x14ac:dyDescent="0.2">
      <c r="A655" s="2" t="s">
        <v>2</v>
      </c>
      <c r="B655" s="10">
        <v>44377</v>
      </c>
      <c r="C655" s="5">
        <v>38</v>
      </c>
      <c r="D655" s="1">
        <f>LEN(VolumebyClient[[#This Row],[CLID]])</f>
        <v>7</v>
      </c>
      <c r="F655" s="1" t="str">
        <f>INDEX(GeobyClient[GEOID],MATCH(VolumebyClient[[#This Row],[CLID]],GeobyClient[Right],0))</f>
        <v>GEO1002</v>
      </c>
      <c r="G655" s="1" t="str">
        <f>VLOOKUP(VolumebyClient[[#This Row],[Index Match Region ID]],GEONames[[GEOID]:[GEO NAME]],2,FALSE)</f>
        <v>APAC</v>
      </c>
      <c r="H655" s="1" t="str">
        <f>"Q"&amp;ROUNDUP(MONTH(VolumebyClient[[#This Row],[Date]])/3,0)&amp;" "&amp;YEAR(VolumebyClient[[#This Row],[Date]])</f>
        <v>Q2 2021</v>
      </c>
      <c r="I655" s="1" t="str">
        <f>VLOOKUP(VolumebyClient[[#This Row],[Date]],Quarters[],3,TRUE)</f>
        <v>Q2 2021</v>
      </c>
    </row>
    <row r="656" spans="1:9" x14ac:dyDescent="0.2">
      <c r="A656" s="2" t="s">
        <v>2</v>
      </c>
      <c r="B656" s="10">
        <v>44347</v>
      </c>
      <c r="C656" s="5">
        <v>71</v>
      </c>
      <c r="D656" s="1">
        <f>LEN(VolumebyClient[[#This Row],[CLID]])</f>
        <v>7</v>
      </c>
      <c r="F656" s="1" t="str">
        <f>INDEX(GeobyClient[GEOID],MATCH(VolumebyClient[[#This Row],[CLID]],GeobyClient[Right],0))</f>
        <v>GEO1002</v>
      </c>
      <c r="G656" s="1" t="str">
        <f>VLOOKUP(VolumebyClient[[#This Row],[Index Match Region ID]],GEONames[[GEOID]:[GEO NAME]],2,FALSE)</f>
        <v>APAC</v>
      </c>
      <c r="H656" s="1" t="str">
        <f>"Q"&amp;ROUNDUP(MONTH(VolumebyClient[[#This Row],[Date]])/3,0)&amp;" "&amp;YEAR(VolumebyClient[[#This Row],[Date]])</f>
        <v>Q2 2021</v>
      </c>
      <c r="I656" s="1" t="str">
        <f>VLOOKUP(VolumebyClient[[#This Row],[Date]],Quarters[],3,TRUE)</f>
        <v>Q2 2021</v>
      </c>
    </row>
    <row r="657" spans="1:9" x14ac:dyDescent="0.2">
      <c r="A657" s="2" t="s">
        <v>2</v>
      </c>
      <c r="B657" s="10">
        <v>44316</v>
      </c>
      <c r="C657" s="5">
        <v>60</v>
      </c>
      <c r="D657" s="1">
        <f>LEN(VolumebyClient[[#This Row],[CLID]])</f>
        <v>7</v>
      </c>
      <c r="F657" s="1" t="str">
        <f>INDEX(GeobyClient[GEOID],MATCH(VolumebyClient[[#This Row],[CLID]],GeobyClient[Right],0))</f>
        <v>GEO1002</v>
      </c>
      <c r="G657" s="1" t="str">
        <f>VLOOKUP(VolumebyClient[[#This Row],[Index Match Region ID]],GEONames[[GEOID]:[GEO NAME]],2,FALSE)</f>
        <v>APAC</v>
      </c>
      <c r="H657" s="1" t="str">
        <f>"Q"&amp;ROUNDUP(MONTH(VolumebyClient[[#This Row],[Date]])/3,0)&amp;" "&amp;YEAR(VolumebyClient[[#This Row],[Date]])</f>
        <v>Q2 2021</v>
      </c>
      <c r="I657" s="1" t="str">
        <f>VLOOKUP(VolumebyClient[[#This Row],[Date]],Quarters[],3,TRUE)</f>
        <v>Q2 2021</v>
      </c>
    </row>
    <row r="658" spans="1:9" x14ac:dyDescent="0.2">
      <c r="A658" s="2" t="s">
        <v>2</v>
      </c>
      <c r="B658" s="10">
        <v>44286</v>
      </c>
      <c r="C658" s="5">
        <v>65</v>
      </c>
      <c r="D658" s="1">
        <f>LEN(VolumebyClient[[#This Row],[CLID]])</f>
        <v>7</v>
      </c>
      <c r="F658" s="1" t="str">
        <f>INDEX(GeobyClient[GEOID],MATCH(VolumebyClient[[#This Row],[CLID]],GeobyClient[Right],0))</f>
        <v>GEO1002</v>
      </c>
      <c r="G658" s="1" t="str">
        <f>VLOOKUP(VolumebyClient[[#This Row],[Index Match Region ID]],GEONames[[GEOID]:[GEO NAME]],2,FALSE)</f>
        <v>APAC</v>
      </c>
      <c r="H658" s="1" t="str">
        <f>"Q"&amp;ROUNDUP(MONTH(VolumebyClient[[#This Row],[Date]])/3,0)&amp;" "&amp;YEAR(VolumebyClient[[#This Row],[Date]])</f>
        <v>Q1 2021</v>
      </c>
      <c r="I658" s="1" t="str">
        <f>VLOOKUP(VolumebyClient[[#This Row],[Date]],Quarters[],3,TRUE)</f>
        <v>Q1 2021</v>
      </c>
    </row>
    <row r="659" spans="1:9" x14ac:dyDescent="0.2">
      <c r="A659" s="2" t="s">
        <v>2</v>
      </c>
      <c r="B659" s="10">
        <v>44255</v>
      </c>
      <c r="C659" s="5">
        <v>45</v>
      </c>
      <c r="D659" s="1">
        <f>LEN(VolumebyClient[[#This Row],[CLID]])</f>
        <v>7</v>
      </c>
      <c r="F659" s="1" t="str">
        <f>INDEX(GeobyClient[GEOID],MATCH(VolumebyClient[[#This Row],[CLID]],GeobyClient[Right],0))</f>
        <v>GEO1002</v>
      </c>
      <c r="G659" s="1" t="str">
        <f>VLOOKUP(VolumebyClient[[#This Row],[Index Match Region ID]],GEONames[[GEOID]:[GEO NAME]],2,FALSE)</f>
        <v>APAC</v>
      </c>
      <c r="H659" s="1" t="str">
        <f>"Q"&amp;ROUNDUP(MONTH(VolumebyClient[[#This Row],[Date]])/3,0)&amp;" "&amp;YEAR(VolumebyClient[[#This Row],[Date]])</f>
        <v>Q1 2021</v>
      </c>
      <c r="I659" s="1" t="str">
        <f>VLOOKUP(VolumebyClient[[#This Row],[Date]],Quarters[],3,TRUE)</f>
        <v>Q1 2021</v>
      </c>
    </row>
    <row r="660" spans="1:9" x14ac:dyDescent="0.2">
      <c r="A660" s="2" t="s">
        <v>2</v>
      </c>
      <c r="B660" s="10">
        <v>44227</v>
      </c>
      <c r="C660" s="5">
        <v>56</v>
      </c>
      <c r="D660" s="1">
        <f>LEN(VolumebyClient[[#This Row],[CLID]])</f>
        <v>7</v>
      </c>
      <c r="F660" s="1" t="str">
        <f>INDEX(GeobyClient[GEOID],MATCH(VolumebyClient[[#This Row],[CLID]],GeobyClient[Right],0))</f>
        <v>GEO1002</v>
      </c>
      <c r="G660" s="1" t="str">
        <f>VLOOKUP(VolumebyClient[[#This Row],[Index Match Region ID]],GEONames[[GEOID]:[GEO NAME]],2,FALSE)</f>
        <v>APAC</v>
      </c>
      <c r="H660" s="1" t="str">
        <f>"Q"&amp;ROUNDUP(MONTH(VolumebyClient[[#This Row],[Date]])/3,0)&amp;" "&amp;YEAR(VolumebyClient[[#This Row],[Date]])</f>
        <v>Q1 2021</v>
      </c>
      <c r="I660" s="1" t="str">
        <f>VLOOKUP(VolumebyClient[[#This Row],[Date]],Quarters[],3,TRUE)</f>
        <v>Q1 2021</v>
      </c>
    </row>
    <row r="661" spans="1:9" x14ac:dyDescent="0.2">
      <c r="A661" s="2" t="s">
        <v>45</v>
      </c>
      <c r="B661" s="10">
        <v>43861</v>
      </c>
      <c r="C661" s="5">
        <v>1283</v>
      </c>
      <c r="D661" s="1">
        <f>LEN(VolumebyClient[[#This Row],[CLID]])</f>
        <v>7</v>
      </c>
      <c r="F661" s="1" t="str">
        <f>INDEX(GeobyClient[GEOID],MATCH(VolumebyClient[[#This Row],[CLID]],GeobyClient[Right],0))</f>
        <v>GEO1001</v>
      </c>
      <c r="G661" s="1" t="str">
        <f>VLOOKUP(VolumebyClient[[#This Row],[Index Match Region ID]],GEONames[[GEOID]:[GEO NAME]],2,FALSE)</f>
        <v>NAM</v>
      </c>
      <c r="H661" s="1" t="str">
        <f>"Q"&amp;ROUNDUP(MONTH(VolumebyClient[[#This Row],[Date]])/3,0)&amp;" "&amp;YEAR(VolumebyClient[[#This Row],[Date]])</f>
        <v>Q1 2020</v>
      </c>
      <c r="I661" s="1" t="str">
        <f>VLOOKUP(VolumebyClient[[#This Row],[Date]],Quarters[],3,TRUE)</f>
        <v>Q1 2020</v>
      </c>
    </row>
    <row r="662" spans="1:9" x14ac:dyDescent="0.2">
      <c r="A662" s="2" t="s">
        <v>45</v>
      </c>
      <c r="B662" s="10">
        <v>43890</v>
      </c>
      <c r="C662" s="5">
        <v>1622</v>
      </c>
      <c r="D662" s="1">
        <f>LEN(VolumebyClient[[#This Row],[CLID]])</f>
        <v>7</v>
      </c>
      <c r="F662" s="1" t="str">
        <f>INDEX(GeobyClient[GEOID],MATCH(VolumebyClient[[#This Row],[CLID]],GeobyClient[Right],0))</f>
        <v>GEO1001</v>
      </c>
      <c r="G662" s="1" t="str">
        <f>VLOOKUP(VolumebyClient[[#This Row],[Index Match Region ID]],GEONames[[GEOID]:[GEO NAME]],2,FALSE)</f>
        <v>NAM</v>
      </c>
      <c r="H662" s="1" t="str">
        <f>"Q"&amp;ROUNDUP(MONTH(VolumebyClient[[#This Row],[Date]])/3,0)&amp;" "&amp;YEAR(VolumebyClient[[#This Row],[Date]])</f>
        <v>Q1 2020</v>
      </c>
      <c r="I662" s="1" t="str">
        <f>VLOOKUP(VolumebyClient[[#This Row],[Date]],Quarters[],3,TRUE)</f>
        <v>Q1 2020</v>
      </c>
    </row>
    <row r="663" spans="1:9" x14ac:dyDescent="0.2">
      <c r="A663" s="2" t="s">
        <v>45</v>
      </c>
      <c r="B663" s="10">
        <v>43921</v>
      </c>
      <c r="C663" s="5">
        <v>1628</v>
      </c>
      <c r="D663" s="1">
        <f>LEN(VolumebyClient[[#This Row],[CLID]])</f>
        <v>7</v>
      </c>
      <c r="F663" s="1" t="str">
        <f>INDEX(GeobyClient[GEOID],MATCH(VolumebyClient[[#This Row],[CLID]],GeobyClient[Right],0))</f>
        <v>GEO1001</v>
      </c>
      <c r="G663" s="1" t="str">
        <f>VLOOKUP(VolumebyClient[[#This Row],[Index Match Region ID]],GEONames[[GEOID]:[GEO NAME]],2,FALSE)</f>
        <v>NAM</v>
      </c>
      <c r="H663" s="1" t="str">
        <f>"Q"&amp;ROUNDUP(MONTH(VolumebyClient[[#This Row],[Date]])/3,0)&amp;" "&amp;YEAR(VolumebyClient[[#This Row],[Date]])</f>
        <v>Q1 2020</v>
      </c>
      <c r="I663" s="1" t="str">
        <f>VLOOKUP(VolumebyClient[[#This Row],[Date]],Quarters[],3,TRUE)</f>
        <v>Q1 2020</v>
      </c>
    </row>
    <row r="664" spans="1:9" x14ac:dyDescent="0.2">
      <c r="A664" s="2" t="s">
        <v>45</v>
      </c>
      <c r="B664" s="10">
        <v>43951</v>
      </c>
      <c r="C664" s="5">
        <v>2137</v>
      </c>
      <c r="D664" s="1">
        <f>LEN(VolumebyClient[[#This Row],[CLID]])</f>
        <v>7</v>
      </c>
      <c r="F664" s="1" t="str">
        <f>INDEX(GeobyClient[GEOID],MATCH(VolumebyClient[[#This Row],[CLID]],GeobyClient[Right],0))</f>
        <v>GEO1001</v>
      </c>
      <c r="G664" s="1" t="str">
        <f>VLOOKUP(VolumebyClient[[#This Row],[Index Match Region ID]],GEONames[[GEOID]:[GEO NAME]],2,FALSE)</f>
        <v>NAM</v>
      </c>
      <c r="H664" s="1" t="str">
        <f>"Q"&amp;ROUNDUP(MONTH(VolumebyClient[[#This Row],[Date]])/3,0)&amp;" "&amp;YEAR(VolumebyClient[[#This Row],[Date]])</f>
        <v>Q2 2020</v>
      </c>
      <c r="I664" s="1" t="str">
        <f>VLOOKUP(VolumebyClient[[#This Row],[Date]],Quarters[],3,TRUE)</f>
        <v>Q2 2020</v>
      </c>
    </row>
    <row r="665" spans="1:9" x14ac:dyDescent="0.2">
      <c r="A665" s="2" t="s">
        <v>45</v>
      </c>
      <c r="B665" s="10">
        <v>43982</v>
      </c>
      <c r="C665" s="5">
        <v>1795</v>
      </c>
      <c r="D665" s="1">
        <f>LEN(VolumebyClient[[#This Row],[CLID]])</f>
        <v>7</v>
      </c>
      <c r="F665" s="1" t="str">
        <f>INDEX(GeobyClient[GEOID],MATCH(VolumebyClient[[#This Row],[CLID]],GeobyClient[Right],0))</f>
        <v>GEO1001</v>
      </c>
      <c r="G665" s="1" t="str">
        <f>VLOOKUP(VolumebyClient[[#This Row],[Index Match Region ID]],GEONames[[GEOID]:[GEO NAME]],2,FALSE)</f>
        <v>NAM</v>
      </c>
      <c r="H665" s="1" t="str">
        <f>"Q"&amp;ROUNDUP(MONTH(VolumebyClient[[#This Row],[Date]])/3,0)&amp;" "&amp;YEAR(VolumebyClient[[#This Row],[Date]])</f>
        <v>Q2 2020</v>
      </c>
      <c r="I665" s="1" t="str">
        <f>VLOOKUP(VolumebyClient[[#This Row],[Date]],Quarters[],3,TRUE)</f>
        <v>Q2 2020</v>
      </c>
    </row>
    <row r="666" spans="1:9" x14ac:dyDescent="0.2">
      <c r="A666" s="2" t="s">
        <v>45</v>
      </c>
      <c r="B666" s="10">
        <v>44012</v>
      </c>
      <c r="C666" s="5">
        <v>1456</v>
      </c>
      <c r="D666" s="1">
        <f>LEN(VolumebyClient[[#This Row],[CLID]])</f>
        <v>7</v>
      </c>
      <c r="F666" s="1" t="str">
        <f>INDEX(GeobyClient[GEOID],MATCH(VolumebyClient[[#This Row],[CLID]],GeobyClient[Right],0))</f>
        <v>GEO1001</v>
      </c>
      <c r="G666" s="1" t="str">
        <f>VLOOKUP(VolumebyClient[[#This Row],[Index Match Region ID]],GEONames[[GEOID]:[GEO NAME]],2,FALSE)</f>
        <v>NAM</v>
      </c>
      <c r="H666" s="1" t="str">
        <f>"Q"&amp;ROUNDUP(MONTH(VolumebyClient[[#This Row],[Date]])/3,0)&amp;" "&amp;YEAR(VolumebyClient[[#This Row],[Date]])</f>
        <v>Q2 2020</v>
      </c>
      <c r="I666" s="1" t="str">
        <f>VLOOKUP(VolumebyClient[[#This Row],[Date]],Quarters[],3,TRUE)</f>
        <v>Q2 2020</v>
      </c>
    </row>
    <row r="667" spans="1:9" x14ac:dyDescent="0.2">
      <c r="A667" s="2" t="s">
        <v>45</v>
      </c>
      <c r="B667" s="10">
        <v>44043</v>
      </c>
      <c r="C667" s="5">
        <v>1112</v>
      </c>
      <c r="D667" s="1">
        <f>LEN(VolumebyClient[[#This Row],[CLID]])</f>
        <v>7</v>
      </c>
      <c r="F667" s="1" t="str">
        <f>INDEX(GeobyClient[GEOID],MATCH(VolumebyClient[[#This Row],[CLID]],GeobyClient[Right],0))</f>
        <v>GEO1001</v>
      </c>
      <c r="G667" s="1" t="str">
        <f>VLOOKUP(VolumebyClient[[#This Row],[Index Match Region ID]],GEONames[[GEOID]:[GEO NAME]],2,FALSE)</f>
        <v>NAM</v>
      </c>
      <c r="H667" s="1" t="str">
        <f>"Q"&amp;ROUNDUP(MONTH(VolumebyClient[[#This Row],[Date]])/3,0)&amp;" "&amp;YEAR(VolumebyClient[[#This Row],[Date]])</f>
        <v>Q3 2020</v>
      </c>
      <c r="I667" s="1" t="str">
        <f>VLOOKUP(VolumebyClient[[#This Row],[Date]],Quarters[],3,TRUE)</f>
        <v>Q3 2020</v>
      </c>
    </row>
    <row r="668" spans="1:9" x14ac:dyDescent="0.2">
      <c r="A668" s="2" t="s">
        <v>45</v>
      </c>
      <c r="B668" s="10">
        <v>44074</v>
      </c>
      <c r="C668" s="5">
        <v>1116</v>
      </c>
      <c r="D668" s="1">
        <f>LEN(VolumebyClient[[#This Row],[CLID]])</f>
        <v>7</v>
      </c>
      <c r="F668" s="1" t="str">
        <f>INDEX(GeobyClient[GEOID],MATCH(VolumebyClient[[#This Row],[CLID]],GeobyClient[Right],0))</f>
        <v>GEO1001</v>
      </c>
      <c r="G668" s="1" t="str">
        <f>VLOOKUP(VolumebyClient[[#This Row],[Index Match Region ID]],GEONames[[GEOID]:[GEO NAME]],2,FALSE)</f>
        <v>NAM</v>
      </c>
      <c r="H668" s="1" t="str">
        <f>"Q"&amp;ROUNDUP(MONTH(VolumebyClient[[#This Row],[Date]])/3,0)&amp;" "&amp;YEAR(VolumebyClient[[#This Row],[Date]])</f>
        <v>Q3 2020</v>
      </c>
      <c r="I668" s="1" t="str">
        <f>VLOOKUP(VolumebyClient[[#This Row],[Date]],Quarters[],3,TRUE)</f>
        <v>Q3 2020</v>
      </c>
    </row>
    <row r="669" spans="1:9" x14ac:dyDescent="0.2">
      <c r="A669" s="2" t="s">
        <v>45</v>
      </c>
      <c r="B669" s="10">
        <v>44104</v>
      </c>
      <c r="C669" s="5">
        <v>939</v>
      </c>
      <c r="D669" s="1">
        <f>LEN(VolumebyClient[[#This Row],[CLID]])</f>
        <v>7</v>
      </c>
      <c r="F669" s="1" t="str">
        <f>INDEX(GeobyClient[GEOID],MATCH(VolumebyClient[[#This Row],[CLID]],GeobyClient[Right],0))</f>
        <v>GEO1001</v>
      </c>
      <c r="G669" s="1" t="str">
        <f>VLOOKUP(VolumebyClient[[#This Row],[Index Match Region ID]],GEONames[[GEOID]:[GEO NAME]],2,FALSE)</f>
        <v>NAM</v>
      </c>
      <c r="H669" s="1" t="str">
        <f>"Q"&amp;ROUNDUP(MONTH(VolumebyClient[[#This Row],[Date]])/3,0)&amp;" "&amp;YEAR(VolumebyClient[[#This Row],[Date]])</f>
        <v>Q3 2020</v>
      </c>
      <c r="I669" s="1" t="str">
        <f>VLOOKUP(VolumebyClient[[#This Row],[Date]],Quarters[],3,TRUE)</f>
        <v>Q3 2020</v>
      </c>
    </row>
    <row r="670" spans="1:9" x14ac:dyDescent="0.2">
      <c r="A670" s="2" t="s">
        <v>45</v>
      </c>
      <c r="B670" s="10">
        <v>44135</v>
      </c>
      <c r="C670" s="5">
        <v>1282</v>
      </c>
      <c r="D670" s="1">
        <f>LEN(VolumebyClient[[#This Row],[CLID]])</f>
        <v>7</v>
      </c>
      <c r="F670" s="1" t="str">
        <f>INDEX(GeobyClient[GEOID],MATCH(VolumebyClient[[#This Row],[CLID]],GeobyClient[Right],0))</f>
        <v>GEO1001</v>
      </c>
      <c r="G670" s="1" t="str">
        <f>VLOOKUP(VolumebyClient[[#This Row],[Index Match Region ID]],GEONames[[GEOID]:[GEO NAME]],2,FALSE)</f>
        <v>NAM</v>
      </c>
      <c r="H670" s="1" t="str">
        <f>"Q"&amp;ROUNDUP(MONTH(VolumebyClient[[#This Row],[Date]])/3,0)&amp;" "&amp;YEAR(VolumebyClient[[#This Row],[Date]])</f>
        <v>Q4 2020</v>
      </c>
      <c r="I670" s="1" t="str">
        <f>VLOOKUP(VolumebyClient[[#This Row],[Date]],Quarters[],3,TRUE)</f>
        <v>Q4 2020</v>
      </c>
    </row>
    <row r="671" spans="1:9" x14ac:dyDescent="0.2">
      <c r="A671" s="2" t="s">
        <v>45</v>
      </c>
      <c r="B671" s="10">
        <v>44165</v>
      </c>
      <c r="C671" s="5">
        <v>1285</v>
      </c>
      <c r="D671" s="1">
        <f>LEN(VolumebyClient[[#This Row],[CLID]])</f>
        <v>7</v>
      </c>
      <c r="F671" s="1" t="str">
        <f>INDEX(GeobyClient[GEOID],MATCH(VolumebyClient[[#This Row],[CLID]],GeobyClient[Right],0))</f>
        <v>GEO1001</v>
      </c>
      <c r="G671" s="1" t="str">
        <f>VLOOKUP(VolumebyClient[[#This Row],[Index Match Region ID]],GEONames[[GEOID]:[GEO NAME]],2,FALSE)</f>
        <v>NAM</v>
      </c>
      <c r="H671" s="1" t="str">
        <f>"Q"&amp;ROUNDUP(MONTH(VolumebyClient[[#This Row],[Date]])/3,0)&amp;" "&amp;YEAR(VolumebyClient[[#This Row],[Date]])</f>
        <v>Q4 2020</v>
      </c>
      <c r="I671" s="1" t="str">
        <f>VLOOKUP(VolumebyClient[[#This Row],[Date]],Quarters[],3,TRUE)</f>
        <v>Q4 2020</v>
      </c>
    </row>
    <row r="672" spans="1:9" x14ac:dyDescent="0.2">
      <c r="A672" s="2" t="s">
        <v>45</v>
      </c>
      <c r="B672" s="10">
        <v>44196</v>
      </c>
      <c r="C672" s="5">
        <v>1452</v>
      </c>
      <c r="D672" s="1">
        <f>LEN(VolumebyClient[[#This Row],[CLID]])</f>
        <v>7</v>
      </c>
      <c r="F672" s="1" t="str">
        <f>INDEX(GeobyClient[GEOID],MATCH(VolumebyClient[[#This Row],[CLID]],GeobyClient[Right],0))</f>
        <v>GEO1001</v>
      </c>
      <c r="G672" s="1" t="str">
        <f>VLOOKUP(VolumebyClient[[#This Row],[Index Match Region ID]],GEONames[[GEOID]:[GEO NAME]],2,FALSE)</f>
        <v>NAM</v>
      </c>
      <c r="H672" s="1" t="str">
        <f>"Q"&amp;ROUNDUP(MONTH(VolumebyClient[[#This Row],[Date]])/3,0)&amp;" "&amp;YEAR(VolumebyClient[[#This Row],[Date]])</f>
        <v>Q4 2020</v>
      </c>
      <c r="I672" s="1" t="str">
        <f>VLOOKUP(VolumebyClient[[#This Row],[Date]],Quarters[],3,TRUE)</f>
        <v>Q4 2020</v>
      </c>
    </row>
    <row r="673" spans="1:9" x14ac:dyDescent="0.2">
      <c r="A673" s="2" t="s">
        <v>45</v>
      </c>
      <c r="B673" s="10">
        <v>44377</v>
      </c>
      <c r="C673" s="5">
        <v>1480</v>
      </c>
      <c r="D673" s="1">
        <f>LEN(VolumebyClient[[#This Row],[CLID]])</f>
        <v>7</v>
      </c>
      <c r="F673" s="1" t="str">
        <f>INDEX(GeobyClient[GEOID],MATCH(VolumebyClient[[#This Row],[CLID]],GeobyClient[Right],0))</f>
        <v>GEO1001</v>
      </c>
      <c r="G673" s="1" t="str">
        <f>VLOOKUP(VolumebyClient[[#This Row],[Index Match Region ID]],GEONames[[GEOID]:[GEO NAME]],2,FALSE)</f>
        <v>NAM</v>
      </c>
      <c r="H673" s="1" t="str">
        <f>"Q"&amp;ROUNDUP(MONTH(VolumebyClient[[#This Row],[Date]])/3,0)&amp;" "&amp;YEAR(VolumebyClient[[#This Row],[Date]])</f>
        <v>Q2 2021</v>
      </c>
      <c r="I673" s="1" t="str">
        <f>VLOOKUP(VolumebyClient[[#This Row],[Date]],Quarters[],3,TRUE)</f>
        <v>Q2 2021</v>
      </c>
    </row>
    <row r="674" spans="1:9" x14ac:dyDescent="0.2">
      <c r="A674" s="2" t="s">
        <v>45</v>
      </c>
      <c r="B674" s="10">
        <v>44347</v>
      </c>
      <c r="C674" s="5">
        <v>1869</v>
      </c>
      <c r="D674" s="1">
        <f>LEN(VolumebyClient[[#This Row],[CLID]])</f>
        <v>7</v>
      </c>
      <c r="F674" s="1" t="str">
        <f>INDEX(GeobyClient[GEOID],MATCH(VolumebyClient[[#This Row],[CLID]],GeobyClient[Right],0))</f>
        <v>GEO1001</v>
      </c>
      <c r="G674" s="1" t="str">
        <f>VLOOKUP(VolumebyClient[[#This Row],[Index Match Region ID]],GEONames[[GEOID]:[GEO NAME]],2,FALSE)</f>
        <v>NAM</v>
      </c>
      <c r="H674" s="1" t="str">
        <f>"Q"&amp;ROUNDUP(MONTH(VolumebyClient[[#This Row],[Date]])/3,0)&amp;" "&amp;YEAR(VolumebyClient[[#This Row],[Date]])</f>
        <v>Q2 2021</v>
      </c>
      <c r="I674" s="1" t="str">
        <f>VLOOKUP(VolumebyClient[[#This Row],[Date]],Quarters[],3,TRUE)</f>
        <v>Q2 2021</v>
      </c>
    </row>
    <row r="675" spans="1:9" x14ac:dyDescent="0.2">
      <c r="A675" s="2" t="s">
        <v>45</v>
      </c>
      <c r="B675" s="10">
        <v>44316</v>
      </c>
      <c r="C675" s="5">
        <v>2242</v>
      </c>
      <c r="D675" s="1">
        <f>LEN(VolumebyClient[[#This Row],[CLID]])</f>
        <v>7</v>
      </c>
      <c r="F675" s="1" t="str">
        <f>INDEX(GeobyClient[GEOID],MATCH(VolumebyClient[[#This Row],[CLID]],GeobyClient[Right],0))</f>
        <v>GEO1001</v>
      </c>
      <c r="G675" s="1" t="str">
        <f>VLOOKUP(VolumebyClient[[#This Row],[Index Match Region ID]],GEONames[[GEOID]:[GEO NAME]],2,FALSE)</f>
        <v>NAM</v>
      </c>
      <c r="H675" s="1" t="str">
        <f>"Q"&amp;ROUNDUP(MONTH(VolumebyClient[[#This Row],[Date]])/3,0)&amp;" "&amp;YEAR(VolumebyClient[[#This Row],[Date]])</f>
        <v>Q2 2021</v>
      </c>
      <c r="I675" s="1" t="str">
        <f>VLOOKUP(VolumebyClient[[#This Row],[Date]],Quarters[],3,TRUE)</f>
        <v>Q2 2021</v>
      </c>
    </row>
    <row r="676" spans="1:9" x14ac:dyDescent="0.2">
      <c r="A676" s="2" t="s">
        <v>45</v>
      </c>
      <c r="B676" s="10">
        <v>44286</v>
      </c>
      <c r="C676" s="5">
        <v>1655</v>
      </c>
      <c r="D676" s="1">
        <f>LEN(VolumebyClient[[#This Row],[CLID]])</f>
        <v>7</v>
      </c>
      <c r="F676" s="1" t="str">
        <f>INDEX(GeobyClient[GEOID],MATCH(VolumebyClient[[#This Row],[CLID]],GeobyClient[Right],0))</f>
        <v>GEO1001</v>
      </c>
      <c r="G676" s="1" t="str">
        <f>VLOOKUP(VolumebyClient[[#This Row],[Index Match Region ID]],GEONames[[GEOID]:[GEO NAME]],2,FALSE)</f>
        <v>NAM</v>
      </c>
      <c r="H676" s="1" t="str">
        <f>"Q"&amp;ROUNDUP(MONTH(VolumebyClient[[#This Row],[Date]])/3,0)&amp;" "&amp;YEAR(VolumebyClient[[#This Row],[Date]])</f>
        <v>Q1 2021</v>
      </c>
      <c r="I676" s="1" t="str">
        <f>VLOOKUP(VolumebyClient[[#This Row],[Date]],Quarters[],3,TRUE)</f>
        <v>Q1 2021</v>
      </c>
    </row>
    <row r="677" spans="1:9" x14ac:dyDescent="0.2">
      <c r="A677" s="2" t="s">
        <v>45</v>
      </c>
      <c r="B677" s="10">
        <v>44255</v>
      </c>
      <c r="C677" s="5">
        <v>1693</v>
      </c>
      <c r="D677" s="1">
        <f>LEN(VolumebyClient[[#This Row],[CLID]])</f>
        <v>7</v>
      </c>
      <c r="F677" s="1" t="str">
        <f>INDEX(GeobyClient[GEOID],MATCH(VolumebyClient[[#This Row],[CLID]],GeobyClient[Right],0))</f>
        <v>GEO1001</v>
      </c>
      <c r="G677" s="1" t="str">
        <f>VLOOKUP(VolumebyClient[[#This Row],[Index Match Region ID]],GEONames[[GEOID]:[GEO NAME]],2,FALSE)</f>
        <v>NAM</v>
      </c>
      <c r="H677" s="1" t="str">
        <f>"Q"&amp;ROUNDUP(MONTH(VolumebyClient[[#This Row],[Date]])/3,0)&amp;" "&amp;YEAR(VolumebyClient[[#This Row],[Date]])</f>
        <v>Q1 2021</v>
      </c>
      <c r="I677" s="1" t="str">
        <f>VLOOKUP(VolumebyClient[[#This Row],[Date]],Quarters[],3,TRUE)</f>
        <v>Q1 2021</v>
      </c>
    </row>
    <row r="678" spans="1:9" x14ac:dyDescent="0.2">
      <c r="A678" s="2" t="s">
        <v>45</v>
      </c>
      <c r="B678" s="10">
        <v>44227</v>
      </c>
      <c r="C678" s="5">
        <v>1275</v>
      </c>
      <c r="D678" s="1">
        <f>LEN(VolumebyClient[[#This Row],[CLID]])</f>
        <v>7</v>
      </c>
      <c r="F678" s="1" t="str">
        <f>INDEX(GeobyClient[GEOID],MATCH(VolumebyClient[[#This Row],[CLID]],GeobyClient[Right],0))</f>
        <v>GEO1001</v>
      </c>
      <c r="G678" s="1" t="str">
        <f>VLOOKUP(VolumebyClient[[#This Row],[Index Match Region ID]],GEONames[[GEOID]:[GEO NAME]],2,FALSE)</f>
        <v>NAM</v>
      </c>
      <c r="H678" s="1" t="str">
        <f>"Q"&amp;ROUNDUP(MONTH(VolumebyClient[[#This Row],[Date]])/3,0)&amp;" "&amp;YEAR(VolumebyClient[[#This Row],[Date]])</f>
        <v>Q1 2021</v>
      </c>
      <c r="I678" s="1" t="str">
        <f>VLOOKUP(VolumebyClient[[#This Row],[Date]],Quarters[],3,TRUE)</f>
        <v>Q1 2021</v>
      </c>
    </row>
    <row r="679" spans="1:9" x14ac:dyDescent="0.2">
      <c r="A679" s="2" t="s">
        <v>42</v>
      </c>
      <c r="B679" s="10">
        <v>43861</v>
      </c>
      <c r="C679" s="5">
        <v>1207</v>
      </c>
      <c r="D679" s="1">
        <f>LEN(VolumebyClient[[#This Row],[CLID]])</f>
        <v>7</v>
      </c>
      <c r="F679" s="1" t="str">
        <f>INDEX(GeobyClient[GEOID],MATCH(VolumebyClient[[#This Row],[CLID]],GeobyClient[Right],0))</f>
        <v>GEO1002</v>
      </c>
      <c r="G679" s="1" t="str">
        <f>VLOOKUP(VolumebyClient[[#This Row],[Index Match Region ID]],GEONames[[GEOID]:[GEO NAME]],2,FALSE)</f>
        <v>APAC</v>
      </c>
      <c r="H679" s="1" t="str">
        <f>"Q"&amp;ROUNDUP(MONTH(VolumebyClient[[#This Row],[Date]])/3,0)&amp;" "&amp;YEAR(VolumebyClient[[#This Row],[Date]])</f>
        <v>Q1 2020</v>
      </c>
      <c r="I679" s="1" t="str">
        <f>VLOOKUP(VolumebyClient[[#This Row],[Date]],Quarters[],3,TRUE)</f>
        <v>Q1 2020</v>
      </c>
    </row>
    <row r="680" spans="1:9" x14ac:dyDescent="0.2">
      <c r="A680" s="2" t="s">
        <v>42</v>
      </c>
      <c r="B680" s="10">
        <v>43890</v>
      </c>
      <c r="C680" s="5">
        <v>1530</v>
      </c>
      <c r="D680" s="1">
        <f>LEN(VolumebyClient[[#This Row],[CLID]])</f>
        <v>7</v>
      </c>
      <c r="F680" s="1" t="str">
        <f>INDEX(GeobyClient[GEOID],MATCH(VolumebyClient[[#This Row],[CLID]],GeobyClient[Right],0))</f>
        <v>GEO1002</v>
      </c>
      <c r="G680" s="1" t="str">
        <f>VLOOKUP(VolumebyClient[[#This Row],[Index Match Region ID]],GEONames[[GEOID]:[GEO NAME]],2,FALSE)</f>
        <v>APAC</v>
      </c>
      <c r="H680" s="1" t="str">
        <f>"Q"&amp;ROUNDUP(MONTH(VolumebyClient[[#This Row],[Date]])/3,0)&amp;" "&amp;YEAR(VolumebyClient[[#This Row],[Date]])</f>
        <v>Q1 2020</v>
      </c>
      <c r="I680" s="1" t="str">
        <f>VLOOKUP(VolumebyClient[[#This Row],[Date]],Quarters[],3,TRUE)</f>
        <v>Q1 2020</v>
      </c>
    </row>
    <row r="681" spans="1:9" x14ac:dyDescent="0.2">
      <c r="A681" s="2" t="s">
        <v>42</v>
      </c>
      <c r="B681" s="10">
        <v>43921</v>
      </c>
      <c r="C681" s="5">
        <v>1532</v>
      </c>
      <c r="D681" s="1">
        <f>LEN(VolumebyClient[[#This Row],[CLID]])</f>
        <v>7</v>
      </c>
      <c r="F681" s="1" t="str">
        <f>INDEX(GeobyClient[GEOID],MATCH(VolumebyClient[[#This Row],[CLID]],GeobyClient[Right],0))</f>
        <v>GEO1002</v>
      </c>
      <c r="G681" s="1" t="str">
        <f>VLOOKUP(VolumebyClient[[#This Row],[Index Match Region ID]],GEONames[[GEOID]:[GEO NAME]],2,FALSE)</f>
        <v>APAC</v>
      </c>
      <c r="H681" s="1" t="str">
        <f>"Q"&amp;ROUNDUP(MONTH(VolumebyClient[[#This Row],[Date]])/3,0)&amp;" "&amp;YEAR(VolumebyClient[[#This Row],[Date]])</f>
        <v>Q1 2020</v>
      </c>
      <c r="I681" s="1" t="str">
        <f>VLOOKUP(VolumebyClient[[#This Row],[Date]],Quarters[],3,TRUE)</f>
        <v>Q1 2020</v>
      </c>
    </row>
    <row r="682" spans="1:9" x14ac:dyDescent="0.2">
      <c r="A682" s="2" t="s">
        <v>42</v>
      </c>
      <c r="B682" s="10">
        <v>43951</v>
      </c>
      <c r="C682" s="5">
        <v>2014</v>
      </c>
      <c r="D682" s="1">
        <f>LEN(VolumebyClient[[#This Row],[CLID]])</f>
        <v>7</v>
      </c>
      <c r="F682" s="1" t="str">
        <f>INDEX(GeobyClient[GEOID],MATCH(VolumebyClient[[#This Row],[CLID]],GeobyClient[Right],0))</f>
        <v>GEO1002</v>
      </c>
      <c r="G682" s="1" t="str">
        <f>VLOOKUP(VolumebyClient[[#This Row],[Index Match Region ID]],GEONames[[GEOID]:[GEO NAME]],2,FALSE)</f>
        <v>APAC</v>
      </c>
      <c r="H682" s="1" t="str">
        <f>"Q"&amp;ROUNDUP(MONTH(VolumebyClient[[#This Row],[Date]])/3,0)&amp;" "&amp;YEAR(VolumebyClient[[#This Row],[Date]])</f>
        <v>Q2 2020</v>
      </c>
      <c r="I682" s="1" t="str">
        <f>VLOOKUP(VolumebyClient[[#This Row],[Date]],Quarters[],3,TRUE)</f>
        <v>Q2 2020</v>
      </c>
    </row>
    <row r="683" spans="1:9" x14ac:dyDescent="0.2">
      <c r="A683" s="2" t="s">
        <v>42</v>
      </c>
      <c r="B683" s="10">
        <v>43982</v>
      </c>
      <c r="C683" s="5">
        <v>1688</v>
      </c>
      <c r="D683" s="1">
        <f>LEN(VolumebyClient[[#This Row],[CLID]])</f>
        <v>7</v>
      </c>
      <c r="F683" s="1" t="str">
        <f>INDEX(GeobyClient[GEOID],MATCH(VolumebyClient[[#This Row],[CLID]],GeobyClient[Right],0))</f>
        <v>GEO1002</v>
      </c>
      <c r="G683" s="1" t="str">
        <f>VLOOKUP(VolumebyClient[[#This Row],[Index Match Region ID]],GEONames[[GEOID]:[GEO NAME]],2,FALSE)</f>
        <v>APAC</v>
      </c>
      <c r="H683" s="1" t="str">
        <f>"Q"&amp;ROUNDUP(MONTH(VolumebyClient[[#This Row],[Date]])/3,0)&amp;" "&amp;YEAR(VolumebyClient[[#This Row],[Date]])</f>
        <v>Q2 2020</v>
      </c>
      <c r="I683" s="1" t="str">
        <f>VLOOKUP(VolumebyClient[[#This Row],[Date]],Quarters[],3,TRUE)</f>
        <v>Q2 2020</v>
      </c>
    </row>
    <row r="684" spans="1:9" x14ac:dyDescent="0.2">
      <c r="A684" s="2" t="s">
        <v>42</v>
      </c>
      <c r="B684" s="10">
        <v>44012</v>
      </c>
      <c r="C684" s="5">
        <v>1368</v>
      </c>
      <c r="D684" s="1">
        <f>LEN(VolumebyClient[[#This Row],[CLID]])</f>
        <v>7</v>
      </c>
      <c r="F684" s="1" t="str">
        <f>INDEX(GeobyClient[GEOID],MATCH(VolumebyClient[[#This Row],[CLID]],GeobyClient[Right],0))</f>
        <v>GEO1002</v>
      </c>
      <c r="G684" s="1" t="str">
        <f>VLOOKUP(VolumebyClient[[#This Row],[Index Match Region ID]],GEONames[[GEOID]:[GEO NAME]],2,FALSE)</f>
        <v>APAC</v>
      </c>
      <c r="H684" s="1" t="str">
        <f>"Q"&amp;ROUNDUP(MONTH(VolumebyClient[[#This Row],[Date]])/3,0)&amp;" "&amp;YEAR(VolumebyClient[[#This Row],[Date]])</f>
        <v>Q2 2020</v>
      </c>
      <c r="I684" s="1" t="str">
        <f>VLOOKUP(VolumebyClient[[#This Row],[Date]],Quarters[],3,TRUE)</f>
        <v>Q2 2020</v>
      </c>
    </row>
    <row r="685" spans="1:9" x14ac:dyDescent="0.2">
      <c r="A685" s="2" t="s">
        <v>42</v>
      </c>
      <c r="B685" s="10">
        <v>44043</v>
      </c>
      <c r="C685" s="5">
        <v>1047</v>
      </c>
      <c r="D685" s="1">
        <f>LEN(VolumebyClient[[#This Row],[CLID]])</f>
        <v>7</v>
      </c>
      <c r="F685" s="1" t="str">
        <f>INDEX(GeobyClient[GEOID],MATCH(VolumebyClient[[#This Row],[CLID]],GeobyClient[Right],0))</f>
        <v>GEO1002</v>
      </c>
      <c r="G685" s="1" t="str">
        <f>VLOOKUP(VolumebyClient[[#This Row],[Index Match Region ID]],GEONames[[GEOID]:[GEO NAME]],2,FALSE)</f>
        <v>APAC</v>
      </c>
      <c r="H685" s="1" t="str">
        <f>"Q"&amp;ROUNDUP(MONTH(VolumebyClient[[#This Row],[Date]])/3,0)&amp;" "&amp;YEAR(VolumebyClient[[#This Row],[Date]])</f>
        <v>Q3 2020</v>
      </c>
      <c r="I685" s="1" t="str">
        <f>VLOOKUP(VolumebyClient[[#This Row],[Date]],Quarters[],3,TRUE)</f>
        <v>Q3 2020</v>
      </c>
    </row>
    <row r="686" spans="1:9" x14ac:dyDescent="0.2">
      <c r="A686" s="2" t="s">
        <v>42</v>
      </c>
      <c r="B686" s="10">
        <v>44074</v>
      </c>
      <c r="C686" s="5">
        <v>1050</v>
      </c>
      <c r="D686" s="1">
        <f>LEN(VolumebyClient[[#This Row],[CLID]])</f>
        <v>7</v>
      </c>
      <c r="F686" s="1" t="str">
        <f>INDEX(GeobyClient[GEOID],MATCH(VolumebyClient[[#This Row],[CLID]],GeobyClient[Right],0))</f>
        <v>GEO1002</v>
      </c>
      <c r="G686" s="1" t="str">
        <f>VLOOKUP(VolumebyClient[[#This Row],[Index Match Region ID]],GEONames[[GEOID]:[GEO NAME]],2,FALSE)</f>
        <v>APAC</v>
      </c>
      <c r="H686" s="1" t="str">
        <f>"Q"&amp;ROUNDUP(MONTH(VolumebyClient[[#This Row],[Date]])/3,0)&amp;" "&amp;YEAR(VolumebyClient[[#This Row],[Date]])</f>
        <v>Q3 2020</v>
      </c>
      <c r="I686" s="1" t="str">
        <f>VLOOKUP(VolumebyClient[[#This Row],[Date]],Quarters[],3,TRUE)</f>
        <v>Q3 2020</v>
      </c>
    </row>
    <row r="687" spans="1:9" x14ac:dyDescent="0.2">
      <c r="A687" s="2" t="s">
        <v>42</v>
      </c>
      <c r="B687" s="10">
        <v>44104</v>
      </c>
      <c r="C687" s="5">
        <v>890</v>
      </c>
      <c r="D687" s="1">
        <f>LEN(VolumebyClient[[#This Row],[CLID]])</f>
        <v>7</v>
      </c>
      <c r="F687" s="1" t="str">
        <f>INDEX(GeobyClient[GEOID],MATCH(VolumebyClient[[#This Row],[CLID]],GeobyClient[Right],0))</f>
        <v>GEO1002</v>
      </c>
      <c r="G687" s="1" t="str">
        <f>VLOOKUP(VolumebyClient[[#This Row],[Index Match Region ID]],GEONames[[GEOID]:[GEO NAME]],2,FALSE)</f>
        <v>APAC</v>
      </c>
      <c r="H687" s="1" t="str">
        <f>"Q"&amp;ROUNDUP(MONTH(VolumebyClient[[#This Row],[Date]])/3,0)&amp;" "&amp;YEAR(VolumebyClient[[#This Row],[Date]])</f>
        <v>Q3 2020</v>
      </c>
      <c r="I687" s="1" t="str">
        <f>VLOOKUP(VolumebyClient[[#This Row],[Date]],Quarters[],3,TRUE)</f>
        <v>Q3 2020</v>
      </c>
    </row>
    <row r="688" spans="1:9" x14ac:dyDescent="0.2">
      <c r="A688" s="2" t="s">
        <v>42</v>
      </c>
      <c r="B688" s="10">
        <v>44135</v>
      </c>
      <c r="C688" s="5">
        <v>1208</v>
      </c>
      <c r="D688" s="1">
        <f>LEN(VolumebyClient[[#This Row],[CLID]])</f>
        <v>7</v>
      </c>
      <c r="F688" s="1" t="str">
        <f>INDEX(GeobyClient[GEOID],MATCH(VolumebyClient[[#This Row],[CLID]],GeobyClient[Right],0))</f>
        <v>GEO1002</v>
      </c>
      <c r="G688" s="1" t="str">
        <f>VLOOKUP(VolumebyClient[[#This Row],[Index Match Region ID]],GEONames[[GEOID]:[GEO NAME]],2,FALSE)</f>
        <v>APAC</v>
      </c>
      <c r="H688" s="1" t="str">
        <f>"Q"&amp;ROUNDUP(MONTH(VolumebyClient[[#This Row],[Date]])/3,0)&amp;" "&amp;YEAR(VolumebyClient[[#This Row],[Date]])</f>
        <v>Q4 2020</v>
      </c>
      <c r="I688" s="1" t="str">
        <f>VLOOKUP(VolumebyClient[[#This Row],[Date]],Quarters[],3,TRUE)</f>
        <v>Q4 2020</v>
      </c>
    </row>
    <row r="689" spans="1:9" x14ac:dyDescent="0.2">
      <c r="A689" s="2" t="s">
        <v>42</v>
      </c>
      <c r="B689" s="10">
        <v>44165</v>
      </c>
      <c r="C689" s="5">
        <v>1205</v>
      </c>
      <c r="D689" s="1">
        <f>LEN(VolumebyClient[[#This Row],[CLID]])</f>
        <v>7</v>
      </c>
      <c r="F689" s="1" t="str">
        <f>INDEX(GeobyClient[GEOID],MATCH(VolumebyClient[[#This Row],[CLID]],GeobyClient[Right],0))</f>
        <v>GEO1002</v>
      </c>
      <c r="G689" s="1" t="str">
        <f>VLOOKUP(VolumebyClient[[#This Row],[Index Match Region ID]],GEONames[[GEOID]:[GEO NAME]],2,FALSE)</f>
        <v>APAC</v>
      </c>
      <c r="H689" s="1" t="str">
        <f>"Q"&amp;ROUNDUP(MONTH(VolumebyClient[[#This Row],[Date]])/3,0)&amp;" "&amp;YEAR(VolumebyClient[[#This Row],[Date]])</f>
        <v>Q4 2020</v>
      </c>
      <c r="I689" s="1" t="str">
        <f>VLOOKUP(VolumebyClient[[#This Row],[Date]],Quarters[],3,TRUE)</f>
        <v>Q4 2020</v>
      </c>
    </row>
    <row r="690" spans="1:9" x14ac:dyDescent="0.2">
      <c r="A690" s="2" t="s">
        <v>42</v>
      </c>
      <c r="B690" s="10">
        <v>44196</v>
      </c>
      <c r="C690" s="5">
        <v>1366</v>
      </c>
      <c r="D690" s="1">
        <f>LEN(VolumebyClient[[#This Row],[CLID]])</f>
        <v>7</v>
      </c>
      <c r="F690" s="1" t="str">
        <f>INDEX(GeobyClient[GEOID],MATCH(VolumebyClient[[#This Row],[CLID]],GeobyClient[Right],0))</f>
        <v>GEO1002</v>
      </c>
      <c r="G690" s="1" t="str">
        <f>VLOOKUP(VolumebyClient[[#This Row],[Index Match Region ID]],GEONames[[GEOID]:[GEO NAME]],2,FALSE)</f>
        <v>APAC</v>
      </c>
      <c r="H690" s="1" t="str">
        <f>"Q"&amp;ROUNDUP(MONTH(VolumebyClient[[#This Row],[Date]])/3,0)&amp;" "&amp;YEAR(VolumebyClient[[#This Row],[Date]])</f>
        <v>Q4 2020</v>
      </c>
      <c r="I690" s="1" t="str">
        <f>VLOOKUP(VolumebyClient[[#This Row],[Date]],Quarters[],3,TRUE)</f>
        <v>Q4 2020</v>
      </c>
    </row>
    <row r="691" spans="1:9" x14ac:dyDescent="0.2">
      <c r="A691" s="2" t="s">
        <v>42</v>
      </c>
      <c r="B691" s="10">
        <v>44377</v>
      </c>
      <c r="C691" s="5">
        <v>1397</v>
      </c>
      <c r="D691" s="1">
        <f>LEN(VolumebyClient[[#This Row],[CLID]])</f>
        <v>7</v>
      </c>
      <c r="F691" s="1" t="str">
        <f>INDEX(GeobyClient[GEOID],MATCH(VolumebyClient[[#This Row],[CLID]],GeobyClient[Right],0))</f>
        <v>GEO1002</v>
      </c>
      <c r="G691" s="1" t="str">
        <f>VLOOKUP(VolumebyClient[[#This Row],[Index Match Region ID]],GEONames[[GEOID]:[GEO NAME]],2,FALSE)</f>
        <v>APAC</v>
      </c>
      <c r="H691" s="1" t="str">
        <f>"Q"&amp;ROUNDUP(MONTH(VolumebyClient[[#This Row],[Date]])/3,0)&amp;" "&amp;YEAR(VolumebyClient[[#This Row],[Date]])</f>
        <v>Q2 2021</v>
      </c>
      <c r="I691" s="1" t="str">
        <f>VLOOKUP(VolumebyClient[[#This Row],[Date]],Quarters[],3,TRUE)</f>
        <v>Q2 2021</v>
      </c>
    </row>
    <row r="692" spans="1:9" x14ac:dyDescent="0.2">
      <c r="A692" s="2" t="s">
        <v>42</v>
      </c>
      <c r="B692" s="10">
        <v>44347</v>
      </c>
      <c r="C692" s="5">
        <v>1757</v>
      </c>
      <c r="D692" s="1">
        <f>LEN(VolumebyClient[[#This Row],[CLID]])</f>
        <v>7</v>
      </c>
      <c r="F692" s="1" t="str">
        <f>INDEX(GeobyClient[GEOID],MATCH(VolumebyClient[[#This Row],[CLID]],GeobyClient[Right],0))</f>
        <v>GEO1002</v>
      </c>
      <c r="G692" s="1" t="str">
        <f>VLOOKUP(VolumebyClient[[#This Row],[Index Match Region ID]],GEONames[[GEOID]:[GEO NAME]],2,FALSE)</f>
        <v>APAC</v>
      </c>
      <c r="H692" s="1" t="str">
        <f>"Q"&amp;ROUNDUP(MONTH(VolumebyClient[[#This Row],[Date]])/3,0)&amp;" "&amp;YEAR(VolumebyClient[[#This Row],[Date]])</f>
        <v>Q2 2021</v>
      </c>
      <c r="I692" s="1" t="str">
        <f>VLOOKUP(VolumebyClient[[#This Row],[Date]],Quarters[],3,TRUE)</f>
        <v>Q2 2021</v>
      </c>
    </row>
    <row r="693" spans="1:9" x14ac:dyDescent="0.2">
      <c r="A693" s="2" t="s">
        <v>42</v>
      </c>
      <c r="B693" s="10">
        <v>44316</v>
      </c>
      <c r="C693" s="5">
        <v>2092</v>
      </c>
      <c r="D693" s="1">
        <f>LEN(VolumebyClient[[#This Row],[CLID]])</f>
        <v>7</v>
      </c>
      <c r="F693" s="1" t="str">
        <f>INDEX(GeobyClient[GEOID],MATCH(VolumebyClient[[#This Row],[CLID]],GeobyClient[Right],0))</f>
        <v>GEO1002</v>
      </c>
      <c r="G693" s="1" t="str">
        <f>VLOOKUP(VolumebyClient[[#This Row],[Index Match Region ID]],GEONames[[GEOID]:[GEO NAME]],2,FALSE)</f>
        <v>APAC</v>
      </c>
      <c r="H693" s="1" t="str">
        <f>"Q"&amp;ROUNDUP(MONTH(VolumebyClient[[#This Row],[Date]])/3,0)&amp;" "&amp;YEAR(VolumebyClient[[#This Row],[Date]])</f>
        <v>Q2 2021</v>
      </c>
      <c r="I693" s="1" t="str">
        <f>VLOOKUP(VolumebyClient[[#This Row],[Date]],Quarters[],3,TRUE)</f>
        <v>Q2 2021</v>
      </c>
    </row>
    <row r="694" spans="1:9" x14ac:dyDescent="0.2">
      <c r="A694" s="2" t="s">
        <v>42</v>
      </c>
      <c r="B694" s="10">
        <v>44286</v>
      </c>
      <c r="C694" s="5">
        <v>1544</v>
      </c>
      <c r="D694" s="1">
        <f>LEN(VolumebyClient[[#This Row],[CLID]])</f>
        <v>7</v>
      </c>
      <c r="F694" s="1" t="str">
        <f>INDEX(GeobyClient[GEOID],MATCH(VolumebyClient[[#This Row],[CLID]],GeobyClient[Right],0))</f>
        <v>GEO1002</v>
      </c>
      <c r="G694" s="1" t="str">
        <f>VLOOKUP(VolumebyClient[[#This Row],[Index Match Region ID]],GEONames[[GEOID]:[GEO NAME]],2,FALSE)</f>
        <v>APAC</v>
      </c>
      <c r="H694" s="1" t="str">
        <f>"Q"&amp;ROUNDUP(MONTH(VolumebyClient[[#This Row],[Date]])/3,0)&amp;" "&amp;YEAR(VolumebyClient[[#This Row],[Date]])</f>
        <v>Q1 2021</v>
      </c>
      <c r="I694" s="1" t="str">
        <f>VLOOKUP(VolumebyClient[[#This Row],[Date]],Quarters[],3,TRUE)</f>
        <v>Q1 2021</v>
      </c>
    </row>
    <row r="695" spans="1:9" x14ac:dyDescent="0.2">
      <c r="A695" s="2" t="s">
        <v>42</v>
      </c>
      <c r="B695" s="10">
        <v>44255</v>
      </c>
      <c r="C695" s="5">
        <v>1547</v>
      </c>
      <c r="D695" s="1">
        <f>LEN(VolumebyClient[[#This Row],[CLID]])</f>
        <v>7</v>
      </c>
      <c r="F695" s="1" t="str">
        <f>INDEX(GeobyClient[GEOID],MATCH(VolumebyClient[[#This Row],[CLID]],GeobyClient[Right],0))</f>
        <v>GEO1002</v>
      </c>
      <c r="G695" s="1" t="str">
        <f>VLOOKUP(VolumebyClient[[#This Row],[Index Match Region ID]],GEONames[[GEOID]:[GEO NAME]],2,FALSE)</f>
        <v>APAC</v>
      </c>
      <c r="H695" s="1" t="str">
        <f>"Q"&amp;ROUNDUP(MONTH(VolumebyClient[[#This Row],[Date]])/3,0)&amp;" "&amp;YEAR(VolumebyClient[[#This Row],[Date]])</f>
        <v>Q1 2021</v>
      </c>
      <c r="I695" s="1" t="str">
        <f>VLOOKUP(VolumebyClient[[#This Row],[Date]],Quarters[],3,TRUE)</f>
        <v>Q1 2021</v>
      </c>
    </row>
    <row r="696" spans="1:9" x14ac:dyDescent="0.2">
      <c r="A696" s="2" t="s">
        <v>42</v>
      </c>
      <c r="B696" s="10">
        <v>44227</v>
      </c>
      <c r="C696" s="5">
        <v>1265</v>
      </c>
      <c r="D696" s="1">
        <f>LEN(VolumebyClient[[#This Row],[CLID]])</f>
        <v>7</v>
      </c>
      <c r="F696" s="1" t="str">
        <f>INDEX(GeobyClient[GEOID],MATCH(VolumebyClient[[#This Row],[CLID]],GeobyClient[Right],0))</f>
        <v>GEO1002</v>
      </c>
      <c r="G696" s="1" t="str">
        <f>VLOOKUP(VolumebyClient[[#This Row],[Index Match Region ID]],GEONames[[GEOID]:[GEO NAME]],2,FALSE)</f>
        <v>APAC</v>
      </c>
      <c r="H696" s="1" t="str">
        <f>"Q"&amp;ROUNDUP(MONTH(VolumebyClient[[#This Row],[Date]])/3,0)&amp;" "&amp;YEAR(VolumebyClient[[#This Row],[Date]])</f>
        <v>Q1 2021</v>
      </c>
      <c r="I696" s="1" t="str">
        <f>VLOOKUP(VolumebyClient[[#This Row],[Date]],Quarters[],3,TRUE)</f>
        <v>Q1 2021</v>
      </c>
    </row>
    <row r="697" spans="1:9" x14ac:dyDescent="0.2">
      <c r="A697" s="2" t="s">
        <v>50</v>
      </c>
      <c r="B697" s="10">
        <v>43861</v>
      </c>
      <c r="C697" s="5">
        <v>3405</v>
      </c>
      <c r="D697" s="1">
        <f>LEN(VolumebyClient[[#This Row],[CLID]])</f>
        <v>7</v>
      </c>
      <c r="F697" s="1" t="str">
        <f>INDEX(GeobyClient[GEOID],MATCH(VolumebyClient[[#This Row],[CLID]],GeobyClient[Right],0))</f>
        <v>GEO1004</v>
      </c>
      <c r="G697" s="1" t="str">
        <f>VLOOKUP(VolumebyClient[[#This Row],[Index Match Region ID]],GEONames[[GEOID]:[GEO NAME]],2,FALSE)</f>
        <v>LATAM</v>
      </c>
      <c r="H697" s="1" t="str">
        <f>"Q"&amp;ROUNDUP(MONTH(VolumebyClient[[#This Row],[Date]])/3,0)&amp;" "&amp;YEAR(VolumebyClient[[#This Row],[Date]])</f>
        <v>Q1 2020</v>
      </c>
      <c r="I697" s="1" t="str">
        <f>VLOOKUP(VolumebyClient[[#This Row],[Date]],Quarters[],3,TRUE)</f>
        <v>Q1 2020</v>
      </c>
    </row>
    <row r="698" spans="1:9" x14ac:dyDescent="0.2">
      <c r="A698" s="2" t="s">
        <v>50</v>
      </c>
      <c r="B698" s="10">
        <v>43890</v>
      </c>
      <c r="C698" s="5">
        <v>3827</v>
      </c>
      <c r="D698" s="1">
        <f>LEN(VolumebyClient[[#This Row],[CLID]])</f>
        <v>7</v>
      </c>
      <c r="F698" s="1" t="str">
        <f>INDEX(GeobyClient[GEOID],MATCH(VolumebyClient[[#This Row],[CLID]],GeobyClient[Right],0))</f>
        <v>GEO1004</v>
      </c>
      <c r="G698" s="1" t="str">
        <f>VLOOKUP(VolumebyClient[[#This Row],[Index Match Region ID]],GEONames[[GEOID]:[GEO NAME]],2,FALSE)</f>
        <v>LATAM</v>
      </c>
      <c r="H698" s="1" t="str">
        <f>"Q"&amp;ROUNDUP(MONTH(VolumebyClient[[#This Row],[Date]])/3,0)&amp;" "&amp;YEAR(VolumebyClient[[#This Row],[Date]])</f>
        <v>Q1 2020</v>
      </c>
      <c r="I698" s="1" t="str">
        <f>VLOOKUP(VolumebyClient[[#This Row],[Date]],Quarters[],3,TRUE)</f>
        <v>Q1 2020</v>
      </c>
    </row>
    <row r="699" spans="1:9" x14ac:dyDescent="0.2">
      <c r="A699" s="2" t="s">
        <v>50</v>
      </c>
      <c r="B699" s="10">
        <v>43921</v>
      </c>
      <c r="C699" s="5">
        <v>4248</v>
      </c>
      <c r="D699" s="1">
        <f>LEN(VolumebyClient[[#This Row],[CLID]])</f>
        <v>7</v>
      </c>
      <c r="F699" s="1" t="str">
        <f>INDEX(GeobyClient[GEOID],MATCH(VolumebyClient[[#This Row],[CLID]],GeobyClient[Right],0))</f>
        <v>GEO1004</v>
      </c>
      <c r="G699" s="1" t="str">
        <f>VLOOKUP(VolumebyClient[[#This Row],[Index Match Region ID]],GEONames[[GEOID]:[GEO NAME]],2,FALSE)</f>
        <v>LATAM</v>
      </c>
      <c r="H699" s="1" t="str">
        <f>"Q"&amp;ROUNDUP(MONTH(VolumebyClient[[#This Row],[Date]])/3,0)&amp;" "&amp;YEAR(VolumebyClient[[#This Row],[Date]])</f>
        <v>Q1 2020</v>
      </c>
      <c r="I699" s="1" t="str">
        <f>VLOOKUP(VolumebyClient[[#This Row],[Date]],Quarters[],3,TRUE)</f>
        <v>Q1 2020</v>
      </c>
    </row>
    <row r="700" spans="1:9" x14ac:dyDescent="0.2">
      <c r="A700" s="2" t="s">
        <v>50</v>
      </c>
      <c r="B700" s="10">
        <v>43951</v>
      </c>
      <c r="C700" s="5">
        <v>5101</v>
      </c>
      <c r="D700" s="1">
        <f>LEN(VolumebyClient[[#This Row],[CLID]])</f>
        <v>7</v>
      </c>
      <c r="F700" s="1" t="str">
        <f>INDEX(GeobyClient[GEOID],MATCH(VolumebyClient[[#This Row],[CLID]],GeobyClient[Right],0))</f>
        <v>GEO1004</v>
      </c>
      <c r="G700" s="1" t="str">
        <f>VLOOKUP(VolumebyClient[[#This Row],[Index Match Region ID]],GEONames[[GEOID]:[GEO NAME]],2,FALSE)</f>
        <v>LATAM</v>
      </c>
      <c r="H700" s="1" t="str">
        <f>"Q"&amp;ROUNDUP(MONTH(VolumebyClient[[#This Row],[Date]])/3,0)&amp;" "&amp;YEAR(VolumebyClient[[#This Row],[Date]])</f>
        <v>Q2 2020</v>
      </c>
      <c r="I700" s="1" t="str">
        <f>VLOOKUP(VolumebyClient[[#This Row],[Date]],Quarters[],3,TRUE)</f>
        <v>Q2 2020</v>
      </c>
    </row>
    <row r="701" spans="1:9" x14ac:dyDescent="0.2">
      <c r="A701" s="2" t="s">
        <v>50</v>
      </c>
      <c r="B701" s="10">
        <v>43982</v>
      </c>
      <c r="C701" s="5">
        <v>4675</v>
      </c>
      <c r="D701" s="1">
        <f>LEN(VolumebyClient[[#This Row],[CLID]])</f>
        <v>7</v>
      </c>
      <c r="F701" s="1" t="str">
        <f>INDEX(GeobyClient[GEOID],MATCH(VolumebyClient[[#This Row],[CLID]],GeobyClient[Right],0))</f>
        <v>GEO1004</v>
      </c>
      <c r="G701" s="1" t="str">
        <f>VLOOKUP(VolumebyClient[[#This Row],[Index Match Region ID]],GEONames[[GEOID]:[GEO NAME]],2,FALSE)</f>
        <v>LATAM</v>
      </c>
      <c r="H701" s="1" t="str">
        <f>"Q"&amp;ROUNDUP(MONTH(VolumebyClient[[#This Row],[Date]])/3,0)&amp;" "&amp;YEAR(VolumebyClient[[#This Row],[Date]])</f>
        <v>Q2 2020</v>
      </c>
      <c r="I701" s="1" t="str">
        <f>VLOOKUP(VolumebyClient[[#This Row],[Date]],Quarters[],3,TRUE)</f>
        <v>Q2 2020</v>
      </c>
    </row>
    <row r="702" spans="1:9" x14ac:dyDescent="0.2">
      <c r="A702" s="2" t="s">
        <v>50</v>
      </c>
      <c r="B702" s="10">
        <v>44012</v>
      </c>
      <c r="C702" s="5">
        <v>3400</v>
      </c>
      <c r="D702" s="1">
        <f>LEN(VolumebyClient[[#This Row],[CLID]])</f>
        <v>7</v>
      </c>
      <c r="F702" s="1" t="str">
        <f>INDEX(GeobyClient[GEOID],MATCH(VolumebyClient[[#This Row],[CLID]],GeobyClient[Right],0))</f>
        <v>GEO1004</v>
      </c>
      <c r="G702" s="1" t="str">
        <f>VLOOKUP(VolumebyClient[[#This Row],[Index Match Region ID]],GEONames[[GEOID]:[GEO NAME]],2,FALSE)</f>
        <v>LATAM</v>
      </c>
      <c r="H702" s="1" t="str">
        <f>"Q"&amp;ROUNDUP(MONTH(VolumebyClient[[#This Row],[Date]])/3,0)&amp;" "&amp;YEAR(VolumebyClient[[#This Row],[Date]])</f>
        <v>Q2 2020</v>
      </c>
      <c r="I702" s="1" t="str">
        <f>VLOOKUP(VolumebyClient[[#This Row],[Date]],Quarters[],3,TRUE)</f>
        <v>Q2 2020</v>
      </c>
    </row>
    <row r="703" spans="1:9" x14ac:dyDescent="0.2">
      <c r="A703" s="2" t="s">
        <v>50</v>
      </c>
      <c r="B703" s="10">
        <v>44043</v>
      </c>
      <c r="C703" s="5">
        <v>2976</v>
      </c>
      <c r="D703" s="1">
        <f>LEN(VolumebyClient[[#This Row],[CLID]])</f>
        <v>7</v>
      </c>
      <c r="F703" s="1" t="str">
        <f>INDEX(GeobyClient[GEOID],MATCH(VolumebyClient[[#This Row],[CLID]],GeobyClient[Right],0))</f>
        <v>GEO1004</v>
      </c>
      <c r="G703" s="1" t="str">
        <f>VLOOKUP(VolumebyClient[[#This Row],[Index Match Region ID]],GEONames[[GEOID]:[GEO NAME]],2,FALSE)</f>
        <v>LATAM</v>
      </c>
      <c r="H703" s="1" t="str">
        <f>"Q"&amp;ROUNDUP(MONTH(VolumebyClient[[#This Row],[Date]])/3,0)&amp;" "&amp;YEAR(VolumebyClient[[#This Row],[Date]])</f>
        <v>Q3 2020</v>
      </c>
      <c r="I703" s="1" t="str">
        <f>VLOOKUP(VolumebyClient[[#This Row],[Date]],Quarters[],3,TRUE)</f>
        <v>Q3 2020</v>
      </c>
    </row>
    <row r="704" spans="1:9" x14ac:dyDescent="0.2">
      <c r="A704" s="2" t="s">
        <v>50</v>
      </c>
      <c r="B704" s="10">
        <v>44074</v>
      </c>
      <c r="C704" s="5">
        <v>2552</v>
      </c>
      <c r="D704" s="1">
        <f>LEN(VolumebyClient[[#This Row],[CLID]])</f>
        <v>7</v>
      </c>
      <c r="F704" s="1" t="str">
        <f>INDEX(GeobyClient[GEOID],MATCH(VolumebyClient[[#This Row],[CLID]],GeobyClient[Right],0))</f>
        <v>GEO1004</v>
      </c>
      <c r="G704" s="1" t="str">
        <f>VLOOKUP(VolumebyClient[[#This Row],[Index Match Region ID]],GEONames[[GEOID]:[GEO NAME]],2,FALSE)</f>
        <v>LATAM</v>
      </c>
      <c r="H704" s="1" t="str">
        <f>"Q"&amp;ROUNDUP(MONTH(VolumebyClient[[#This Row],[Date]])/3,0)&amp;" "&amp;YEAR(VolumebyClient[[#This Row],[Date]])</f>
        <v>Q3 2020</v>
      </c>
      <c r="I704" s="1" t="str">
        <f>VLOOKUP(VolumebyClient[[#This Row],[Date]],Quarters[],3,TRUE)</f>
        <v>Q3 2020</v>
      </c>
    </row>
    <row r="705" spans="1:9" x14ac:dyDescent="0.2">
      <c r="A705" s="2" t="s">
        <v>50</v>
      </c>
      <c r="B705" s="10">
        <v>44104</v>
      </c>
      <c r="C705" s="5">
        <v>2550</v>
      </c>
      <c r="D705" s="1">
        <f>LEN(VolumebyClient[[#This Row],[CLID]])</f>
        <v>7</v>
      </c>
      <c r="F705" s="1" t="str">
        <f>INDEX(GeobyClient[GEOID],MATCH(VolumebyClient[[#This Row],[CLID]],GeobyClient[Right],0))</f>
        <v>GEO1004</v>
      </c>
      <c r="G705" s="1" t="str">
        <f>VLOOKUP(VolumebyClient[[#This Row],[Index Match Region ID]],GEONames[[GEOID]:[GEO NAME]],2,FALSE)</f>
        <v>LATAM</v>
      </c>
      <c r="H705" s="1" t="str">
        <f>"Q"&amp;ROUNDUP(MONTH(VolumebyClient[[#This Row],[Date]])/3,0)&amp;" "&amp;YEAR(VolumebyClient[[#This Row],[Date]])</f>
        <v>Q3 2020</v>
      </c>
      <c r="I705" s="1" t="str">
        <f>VLOOKUP(VolumebyClient[[#This Row],[Date]],Quarters[],3,TRUE)</f>
        <v>Q3 2020</v>
      </c>
    </row>
    <row r="706" spans="1:9" x14ac:dyDescent="0.2">
      <c r="A706" s="2" t="s">
        <v>50</v>
      </c>
      <c r="B706" s="10">
        <v>44135</v>
      </c>
      <c r="C706" s="5">
        <v>2975</v>
      </c>
      <c r="D706" s="1">
        <f>LEN(VolumebyClient[[#This Row],[CLID]])</f>
        <v>7</v>
      </c>
      <c r="F706" s="1" t="str">
        <f>INDEX(GeobyClient[GEOID],MATCH(VolumebyClient[[#This Row],[CLID]],GeobyClient[Right],0))</f>
        <v>GEO1004</v>
      </c>
      <c r="G706" s="1" t="str">
        <f>VLOOKUP(VolumebyClient[[#This Row],[Index Match Region ID]],GEONames[[GEOID]:[GEO NAME]],2,FALSE)</f>
        <v>LATAM</v>
      </c>
      <c r="H706" s="1" t="str">
        <f>"Q"&amp;ROUNDUP(MONTH(VolumebyClient[[#This Row],[Date]])/3,0)&amp;" "&amp;YEAR(VolumebyClient[[#This Row],[Date]])</f>
        <v>Q4 2020</v>
      </c>
      <c r="I706" s="1" t="str">
        <f>VLOOKUP(VolumebyClient[[#This Row],[Date]],Quarters[],3,TRUE)</f>
        <v>Q4 2020</v>
      </c>
    </row>
    <row r="707" spans="1:9" x14ac:dyDescent="0.2">
      <c r="A707" s="2" t="s">
        <v>50</v>
      </c>
      <c r="B707" s="10">
        <v>44165</v>
      </c>
      <c r="C707" s="5">
        <v>3399</v>
      </c>
      <c r="D707" s="1">
        <f>LEN(VolumebyClient[[#This Row],[CLID]])</f>
        <v>7</v>
      </c>
      <c r="F707" s="1" t="str">
        <f>INDEX(GeobyClient[GEOID],MATCH(VolumebyClient[[#This Row],[CLID]],GeobyClient[Right],0))</f>
        <v>GEO1004</v>
      </c>
      <c r="G707" s="1" t="str">
        <f>VLOOKUP(VolumebyClient[[#This Row],[Index Match Region ID]],GEONames[[GEOID]:[GEO NAME]],2,FALSE)</f>
        <v>LATAM</v>
      </c>
      <c r="H707" s="1" t="str">
        <f>"Q"&amp;ROUNDUP(MONTH(VolumebyClient[[#This Row],[Date]])/3,0)&amp;" "&amp;YEAR(VolumebyClient[[#This Row],[Date]])</f>
        <v>Q4 2020</v>
      </c>
      <c r="I707" s="1" t="str">
        <f>VLOOKUP(VolumebyClient[[#This Row],[Date]],Quarters[],3,TRUE)</f>
        <v>Q4 2020</v>
      </c>
    </row>
    <row r="708" spans="1:9" x14ac:dyDescent="0.2">
      <c r="A708" s="2" t="s">
        <v>50</v>
      </c>
      <c r="B708" s="10">
        <v>44196</v>
      </c>
      <c r="C708" s="5">
        <v>3404</v>
      </c>
      <c r="D708" s="1">
        <f>LEN(VolumebyClient[[#This Row],[CLID]])</f>
        <v>7</v>
      </c>
      <c r="F708" s="1" t="str">
        <f>INDEX(GeobyClient[GEOID],MATCH(VolumebyClient[[#This Row],[CLID]],GeobyClient[Right],0))</f>
        <v>GEO1004</v>
      </c>
      <c r="G708" s="1" t="str">
        <f>VLOOKUP(VolumebyClient[[#This Row],[Index Match Region ID]],GEONames[[GEOID]:[GEO NAME]],2,FALSE)</f>
        <v>LATAM</v>
      </c>
      <c r="H708" s="1" t="str">
        <f>"Q"&amp;ROUNDUP(MONTH(VolumebyClient[[#This Row],[Date]])/3,0)&amp;" "&amp;YEAR(VolumebyClient[[#This Row],[Date]])</f>
        <v>Q4 2020</v>
      </c>
      <c r="I708" s="1" t="str">
        <f>VLOOKUP(VolumebyClient[[#This Row],[Date]],Quarters[],3,TRUE)</f>
        <v>Q4 2020</v>
      </c>
    </row>
    <row r="709" spans="1:9" x14ac:dyDescent="0.2">
      <c r="A709" s="2" t="s">
        <v>50</v>
      </c>
      <c r="B709" s="10">
        <v>44377</v>
      </c>
      <c r="C709" s="5">
        <v>3501</v>
      </c>
      <c r="D709" s="1">
        <f>LEN(VolumebyClient[[#This Row],[CLID]])</f>
        <v>7</v>
      </c>
      <c r="F709" s="1" t="str">
        <f>INDEX(GeobyClient[GEOID],MATCH(VolumebyClient[[#This Row],[CLID]],GeobyClient[Right],0))</f>
        <v>GEO1004</v>
      </c>
      <c r="G709" s="1" t="str">
        <f>VLOOKUP(VolumebyClient[[#This Row],[Index Match Region ID]],GEONames[[GEOID]:[GEO NAME]],2,FALSE)</f>
        <v>LATAM</v>
      </c>
      <c r="H709" s="1" t="str">
        <f>"Q"&amp;ROUNDUP(MONTH(VolumebyClient[[#This Row],[Date]])/3,0)&amp;" "&amp;YEAR(VolumebyClient[[#This Row],[Date]])</f>
        <v>Q2 2021</v>
      </c>
      <c r="I709" s="1" t="str">
        <f>VLOOKUP(VolumebyClient[[#This Row],[Date]],Quarters[],3,TRUE)</f>
        <v>Q2 2021</v>
      </c>
    </row>
    <row r="710" spans="1:9" x14ac:dyDescent="0.2">
      <c r="A710" s="2" t="s">
        <v>50</v>
      </c>
      <c r="B710" s="10">
        <v>44347</v>
      </c>
      <c r="C710" s="5">
        <v>4768</v>
      </c>
      <c r="D710" s="1">
        <f>LEN(VolumebyClient[[#This Row],[CLID]])</f>
        <v>7</v>
      </c>
      <c r="F710" s="1" t="str">
        <f>INDEX(GeobyClient[GEOID],MATCH(VolumebyClient[[#This Row],[CLID]],GeobyClient[Right],0))</f>
        <v>GEO1004</v>
      </c>
      <c r="G710" s="1" t="str">
        <f>VLOOKUP(VolumebyClient[[#This Row],[Index Match Region ID]],GEONames[[GEOID]:[GEO NAME]],2,FALSE)</f>
        <v>LATAM</v>
      </c>
      <c r="H710" s="1" t="str">
        <f>"Q"&amp;ROUNDUP(MONTH(VolumebyClient[[#This Row],[Date]])/3,0)&amp;" "&amp;YEAR(VolumebyClient[[#This Row],[Date]])</f>
        <v>Q2 2021</v>
      </c>
      <c r="I710" s="1" t="str">
        <f>VLOOKUP(VolumebyClient[[#This Row],[Date]],Quarters[],3,TRUE)</f>
        <v>Q2 2021</v>
      </c>
    </row>
    <row r="711" spans="1:9" x14ac:dyDescent="0.2">
      <c r="A711" s="2" t="s">
        <v>50</v>
      </c>
      <c r="B711" s="10">
        <v>44316</v>
      </c>
      <c r="C711" s="5">
        <v>5254</v>
      </c>
      <c r="D711" s="1">
        <f>LEN(VolumebyClient[[#This Row],[CLID]])</f>
        <v>7</v>
      </c>
      <c r="F711" s="1" t="str">
        <f>INDEX(GeobyClient[GEOID],MATCH(VolumebyClient[[#This Row],[CLID]],GeobyClient[Right],0))</f>
        <v>GEO1004</v>
      </c>
      <c r="G711" s="1" t="str">
        <f>VLOOKUP(VolumebyClient[[#This Row],[Index Match Region ID]],GEONames[[GEOID]:[GEO NAME]],2,FALSE)</f>
        <v>LATAM</v>
      </c>
      <c r="H711" s="1" t="str">
        <f>"Q"&amp;ROUNDUP(MONTH(VolumebyClient[[#This Row],[Date]])/3,0)&amp;" "&amp;YEAR(VolumebyClient[[#This Row],[Date]])</f>
        <v>Q2 2021</v>
      </c>
      <c r="I711" s="1" t="str">
        <f>VLOOKUP(VolumebyClient[[#This Row],[Date]],Quarters[],3,TRUE)</f>
        <v>Q2 2021</v>
      </c>
    </row>
    <row r="712" spans="1:9" x14ac:dyDescent="0.2">
      <c r="A712" s="2" t="s">
        <v>50</v>
      </c>
      <c r="B712" s="10">
        <v>44286</v>
      </c>
      <c r="C712" s="5">
        <v>4212</v>
      </c>
      <c r="D712" s="1">
        <f>LEN(VolumebyClient[[#This Row],[CLID]])</f>
        <v>7</v>
      </c>
      <c r="F712" s="1" t="str">
        <f>INDEX(GeobyClient[GEOID],MATCH(VolumebyClient[[#This Row],[CLID]],GeobyClient[Right],0))</f>
        <v>GEO1004</v>
      </c>
      <c r="G712" s="1" t="str">
        <f>VLOOKUP(VolumebyClient[[#This Row],[Index Match Region ID]],GEONames[[GEOID]:[GEO NAME]],2,FALSE)</f>
        <v>LATAM</v>
      </c>
      <c r="H712" s="1" t="str">
        <f>"Q"&amp;ROUNDUP(MONTH(VolumebyClient[[#This Row],[Date]])/3,0)&amp;" "&amp;YEAR(VolumebyClient[[#This Row],[Date]])</f>
        <v>Q1 2021</v>
      </c>
      <c r="I712" s="1" t="str">
        <f>VLOOKUP(VolumebyClient[[#This Row],[Date]],Quarters[],3,TRUE)</f>
        <v>Q1 2021</v>
      </c>
    </row>
    <row r="713" spans="1:9" x14ac:dyDescent="0.2">
      <c r="A713" s="2" t="s">
        <v>50</v>
      </c>
      <c r="B713" s="10">
        <v>44255</v>
      </c>
      <c r="C713" s="5">
        <v>3808</v>
      </c>
      <c r="D713" s="1">
        <f>LEN(VolumebyClient[[#This Row],[CLID]])</f>
        <v>7</v>
      </c>
      <c r="F713" s="1" t="str">
        <f>INDEX(GeobyClient[GEOID],MATCH(VolumebyClient[[#This Row],[CLID]],GeobyClient[Right],0))</f>
        <v>GEO1004</v>
      </c>
      <c r="G713" s="1" t="str">
        <f>VLOOKUP(VolumebyClient[[#This Row],[Index Match Region ID]],GEONames[[GEOID]:[GEO NAME]],2,FALSE)</f>
        <v>LATAM</v>
      </c>
      <c r="H713" s="1" t="str">
        <f>"Q"&amp;ROUNDUP(MONTH(VolumebyClient[[#This Row],[Date]])/3,0)&amp;" "&amp;YEAR(VolumebyClient[[#This Row],[Date]])</f>
        <v>Q1 2021</v>
      </c>
      <c r="I713" s="1" t="str">
        <f>VLOOKUP(VolumebyClient[[#This Row],[Date]],Quarters[],3,TRUE)</f>
        <v>Q1 2021</v>
      </c>
    </row>
    <row r="714" spans="1:9" x14ac:dyDescent="0.2">
      <c r="A714" s="2" t="s">
        <v>50</v>
      </c>
      <c r="B714" s="10">
        <v>44227</v>
      </c>
      <c r="C714" s="5">
        <v>3575</v>
      </c>
      <c r="D714" s="1">
        <f>LEN(VolumebyClient[[#This Row],[CLID]])</f>
        <v>7</v>
      </c>
      <c r="F714" s="1" t="str">
        <f>INDEX(GeobyClient[GEOID],MATCH(VolumebyClient[[#This Row],[CLID]],GeobyClient[Right],0))</f>
        <v>GEO1004</v>
      </c>
      <c r="G714" s="1" t="str">
        <f>VLOOKUP(VolumebyClient[[#This Row],[Index Match Region ID]],GEONames[[GEOID]:[GEO NAME]],2,FALSE)</f>
        <v>LATAM</v>
      </c>
      <c r="H714" s="1" t="str">
        <f>"Q"&amp;ROUNDUP(MONTH(VolumebyClient[[#This Row],[Date]])/3,0)&amp;" "&amp;YEAR(VolumebyClient[[#This Row],[Date]])</f>
        <v>Q1 2021</v>
      </c>
      <c r="I714" s="1" t="str">
        <f>VLOOKUP(VolumebyClient[[#This Row],[Date]],Quarters[],3,TRUE)</f>
        <v>Q1 2021</v>
      </c>
    </row>
    <row r="715" spans="1:9" x14ac:dyDescent="0.2">
      <c r="A715" s="2" t="s">
        <v>18</v>
      </c>
      <c r="B715" s="10">
        <v>43861</v>
      </c>
      <c r="C715" s="5">
        <v>627</v>
      </c>
      <c r="D715" s="1">
        <f>LEN(VolumebyClient[[#This Row],[CLID]])</f>
        <v>7</v>
      </c>
      <c r="F715" s="1" t="str">
        <f>INDEX(GeobyClient[GEOID],MATCH(VolumebyClient[[#This Row],[CLID]],GeobyClient[Right],0))</f>
        <v>GEO1003</v>
      </c>
      <c r="G715" s="1" t="str">
        <f>VLOOKUP(VolumebyClient[[#This Row],[Index Match Region ID]],GEONames[[GEOID]:[GEO NAME]],2,FALSE)</f>
        <v>EMEA</v>
      </c>
      <c r="H715" s="1" t="str">
        <f>"Q"&amp;ROUNDUP(MONTH(VolumebyClient[[#This Row],[Date]])/3,0)&amp;" "&amp;YEAR(VolumebyClient[[#This Row],[Date]])</f>
        <v>Q1 2020</v>
      </c>
      <c r="I715" s="1" t="str">
        <f>VLOOKUP(VolumebyClient[[#This Row],[Date]],Quarters[],3,TRUE)</f>
        <v>Q1 2020</v>
      </c>
    </row>
    <row r="716" spans="1:9" x14ac:dyDescent="0.2">
      <c r="A716" s="2" t="s">
        <v>18</v>
      </c>
      <c r="B716" s="10">
        <v>43890</v>
      </c>
      <c r="C716" s="5">
        <v>495</v>
      </c>
      <c r="D716" s="1">
        <f>LEN(VolumebyClient[[#This Row],[CLID]])</f>
        <v>7</v>
      </c>
      <c r="F716" s="1" t="str">
        <f>INDEX(GeobyClient[GEOID],MATCH(VolumebyClient[[#This Row],[CLID]],GeobyClient[Right],0))</f>
        <v>GEO1003</v>
      </c>
      <c r="G716" s="1" t="str">
        <f>VLOOKUP(VolumebyClient[[#This Row],[Index Match Region ID]],GEONames[[GEOID]:[GEO NAME]],2,FALSE)</f>
        <v>EMEA</v>
      </c>
      <c r="H716" s="1" t="str">
        <f>"Q"&amp;ROUNDUP(MONTH(VolumebyClient[[#This Row],[Date]])/3,0)&amp;" "&amp;YEAR(VolumebyClient[[#This Row],[Date]])</f>
        <v>Q1 2020</v>
      </c>
      <c r="I716" s="1" t="str">
        <f>VLOOKUP(VolumebyClient[[#This Row],[Date]],Quarters[],3,TRUE)</f>
        <v>Q1 2020</v>
      </c>
    </row>
    <row r="717" spans="1:9" x14ac:dyDescent="0.2">
      <c r="A717" s="2" t="s">
        <v>18</v>
      </c>
      <c r="B717" s="10">
        <v>43921</v>
      </c>
      <c r="C717" s="5">
        <v>755</v>
      </c>
      <c r="D717" s="1">
        <f>LEN(VolumebyClient[[#This Row],[CLID]])</f>
        <v>7</v>
      </c>
      <c r="F717" s="1" t="str">
        <f>INDEX(GeobyClient[GEOID],MATCH(VolumebyClient[[#This Row],[CLID]],GeobyClient[Right],0))</f>
        <v>GEO1003</v>
      </c>
      <c r="G717" s="1" t="str">
        <f>VLOOKUP(VolumebyClient[[#This Row],[Index Match Region ID]],GEONames[[GEOID]:[GEO NAME]],2,FALSE)</f>
        <v>EMEA</v>
      </c>
      <c r="H717" s="1" t="str">
        <f>"Q"&amp;ROUNDUP(MONTH(VolumebyClient[[#This Row],[Date]])/3,0)&amp;" "&amp;YEAR(VolumebyClient[[#This Row],[Date]])</f>
        <v>Q1 2020</v>
      </c>
      <c r="I717" s="1" t="str">
        <f>VLOOKUP(VolumebyClient[[#This Row],[Date]],Quarters[],3,TRUE)</f>
        <v>Q1 2020</v>
      </c>
    </row>
    <row r="718" spans="1:9" x14ac:dyDescent="0.2">
      <c r="A718" s="2" t="s">
        <v>18</v>
      </c>
      <c r="B718" s="10">
        <v>43951</v>
      </c>
      <c r="C718" s="5">
        <v>689</v>
      </c>
      <c r="D718" s="1">
        <f>LEN(VolumebyClient[[#This Row],[CLID]])</f>
        <v>7</v>
      </c>
      <c r="F718" s="1" t="str">
        <f>INDEX(GeobyClient[GEOID],MATCH(VolumebyClient[[#This Row],[CLID]],GeobyClient[Right],0))</f>
        <v>GEO1003</v>
      </c>
      <c r="G718" s="1" t="str">
        <f>VLOOKUP(VolumebyClient[[#This Row],[Index Match Region ID]],GEONames[[GEOID]:[GEO NAME]],2,FALSE)</f>
        <v>EMEA</v>
      </c>
      <c r="H718" s="1" t="str">
        <f>"Q"&amp;ROUNDUP(MONTH(VolumebyClient[[#This Row],[Date]])/3,0)&amp;" "&amp;YEAR(VolumebyClient[[#This Row],[Date]])</f>
        <v>Q2 2020</v>
      </c>
      <c r="I718" s="1" t="str">
        <f>VLOOKUP(VolumebyClient[[#This Row],[Date]],Quarters[],3,TRUE)</f>
        <v>Q2 2020</v>
      </c>
    </row>
    <row r="719" spans="1:9" x14ac:dyDescent="0.2">
      <c r="A719" s="2" t="s">
        <v>18</v>
      </c>
      <c r="B719" s="10">
        <v>43982</v>
      </c>
      <c r="C719" s="5">
        <v>817</v>
      </c>
      <c r="D719" s="1">
        <f>LEN(VolumebyClient[[#This Row],[CLID]])</f>
        <v>7</v>
      </c>
      <c r="F719" s="1" t="str">
        <f>INDEX(GeobyClient[GEOID],MATCH(VolumebyClient[[#This Row],[CLID]],GeobyClient[Right],0))</f>
        <v>GEO1003</v>
      </c>
      <c r="G719" s="1" t="str">
        <f>VLOOKUP(VolumebyClient[[#This Row],[Index Match Region ID]],GEONames[[GEOID]:[GEO NAME]],2,FALSE)</f>
        <v>EMEA</v>
      </c>
      <c r="H719" s="1" t="str">
        <f>"Q"&amp;ROUNDUP(MONTH(VolumebyClient[[#This Row],[Date]])/3,0)&amp;" "&amp;YEAR(VolumebyClient[[#This Row],[Date]])</f>
        <v>Q2 2020</v>
      </c>
      <c r="I719" s="1" t="str">
        <f>VLOOKUP(VolumebyClient[[#This Row],[Date]],Quarters[],3,TRUE)</f>
        <v>Q2 2020</v>
      </c>
    </row>
    <row r="720" spans="1:9" x14ac:dyDescent="0.2">
      <c r="A720" s="2" t="s">
        <v>18</v>
      </c>
      <c r="B720" s="10">
        <v>44012</v>
      </c>
      <c r="C720" s="5">
        <v>426</v>
      </c>
      <c r="D720" s="1">
        <f>LEN(VolumebyClient[[#This Row],[CLID]])</f>
        <v>7</v>
      </c>
      <c r="F720" s="1" t="str">
        <f>INDEX(GeobyClient[GEOID],MATCH(VolumebyClient[[#This Row],[CLID]],GeobyClient[Right],0))</f>
        <v>GEO1003</v>
      </c>
      <c r="G720" s="1" t="str">
        <f>VLOOKUP(VolumebyClient[[#This Row],[Index Match Region ID]],GEONames[[GEOID]:[GEO NAME]],2,FALSE)</f>
        <v>EMEA</v>
      </c>
      <c r="H720" s="1" t="str">
        <f>"Q"&amp;ROUNDUP(MONTH(VolumebyClient[[#This Row],[Date]])/3,0)&amp;" "&amp;YEAR(VolumebyClient[[#This Row],[Date]])</f>
        <v>Q2 2020</v>
      </c>
      <c r="I720" s="1" t="str">
        <f>VLOOKUP(VolumebyClient[[#This Row],[Date]],Quarters[],3,TRUE)</f>
        <v>Q2 2020</v>
      </c>
    </row>
    <row r="721" spans="1:9" x14ac:dyDescent="0.2">
      <c r="A721" s="2" t="s">
        <v>18</v>
      </c>
      <c r="B721" s="10">
        <v>44043</v>
      </c>
      <c r="C721" s="5">
        <v>559</v>
      </c>
      <c r="D721" s="1">
        <f>LEN(VolumebyClient[[#This Row],[CLID]])</f>
        <v>7</v>
      </c>
      <c r="F721" s="1" t="str">
        <f>INDEX(GeobyClient[GEOID],MATCH(VolumebyClient[[#This Row],[CLID]],GeobyClient[Right],0))</f>
        <v>GEO1003</v>
      </c>
      <c r="G721" s="1" t="str">
        <f>VLOOKUP(VolumebyClient[[#This Row],[Index Match Region ID]],GEONames[[GEOID]:[GEO NAME]],2,FALSE)</f>
        <v>EMEA</v>
      </c>
      <c r="H721" s="1" t="str">
        <f>"Q"&amp;ROUNDUP(MONTH(VolumebyClient[[#This Row],[Date]])/3,0)&amp;" "&amp;YEAR(VolumebyClient[[#This Row],[Date]])</f>
        <v>Q3 2020</v>
      </c>
      <c r="I721" s="1" t="str">
        <f>VLOOKUP(VolumebyClient[[#This Row],[Date]],Quarters[],3,TRUE)</f>
        <v>Q3 2020</v>
      </c>
    </row>
    <row r="722" spans="1:9" x14ac:dyDescent="0.2">
      <c r="A722" s="2" t="s">
        <v>18</v>
      </c>
      <c r="B722" s="10">
        <v>44074</v>
      </c>
      <c r="C722" s="5">
        <v>300</v>
      </c>
      <c r="D722" s="1">
        <f>LEN(VolumebyClient[[#This Row],[CLID]])</f>
        <v>7</v>
      </c>
      <c r="F722" s="1" t="str">
        <f>INDEX(GeobyClient[GEOID],MATCH(VolumebyClient[[#This Row],[CLID]],GeobyClient[Right],0))</f>
        <v>GEO1003</v>
      </c>
      <c r="G722" s="1" t="str">
        <f>VLOOKUP(VolumebyClient[[#This Row],[Index Match Region ID]],GEONames[[GEOID]:[GEO NAME]],2,FALSE)</f>
        <v>EMEA</v>
      </c>
      <c r="H722" s="1" t="str">
        <f>"Q"&amp;ROUNDUP(MONTH(VolumebyClient[[#This Row],[Date]])/3,0)&amp;" "&amp;YEAR(VolumebyClient[[#This Row],[Date]])</f>
        <v>Q3 2020</v>
      </c>
      <c r="I722" s="1" t="str">
        <f>VLOOKUP(VolumebyClient[[#This Row],[Date]],Quarters[],3,TRUE)</f>
        <v>Q3 2020</v>
      </c>
    </row>
    <row r="723" spans="1:9" x14ac:dyDescent="0.2">
      <c r="A723" s="2" t="s">
        <v>18</v>
      </c>
      <c r="B723" s="10">
        <v>44104</v>
      </c>
      <c r="C723" s="5">
        <v>493</v>
      </c>
      <c r="D723" s="1">
        <f>LEN(VolumebyClient[[#This Row],[CLID]])</f>
        <v>7</v>
      </c>
      <c r="F723" s="1" t="str">
        <f>INDEX(GeobyClient[GEOID],MATCH(VolumebyClient[[#This Row],[CLID]],GeobyClient[Right],0))</f>
        <v>GEO1003</v>
      </c>
      <c r="G723" s="1" t="str">
        <f>VLOOKUP(VolumebyClient[[#This Row],[Index Match Region ID]],GEONames[[GEOID]:[GEO NAME]],2,FALSE)</f>
        <v>EMEA</v>
      </c>
      <c r="H723" s="1" t="str">
        <f>"Q"&amp;ROUNDUP(MONTH(VolumebyClient[[#This Row],[Date]])/3,0)&amp;" "&amp;YEAR(VolumebyClient[[#This Row],[Date]])</f>
        <v>Q3 2020</v>
      </c>
      <c r="I723" s="1" t="str">
        <f>VLOOKUP(VolumebyClient[[#This Row],[Date]],Quarters[],3,TRUE)</f>
        <v>Q3 2020</v>
      </c>
    </row>
    <row r="724" spans="1:9" x14ac:dyDescent="0.2">
      <c r="A724" s="2" t="s">
        <v>18</v>
      </c>
      <c r="B724" s="10">
        <v>44135</v>
      </c>
      <c r="C724" s="5">
        <v>364</v>
      </c>
      <c r="D724" s="1">
        <f>LEN(VolumebyClient[[#This Row],[CLID]])</f>
        <v>7</v>
      </c>
      <c r="F724" s="1" t="str">
        <f>INDEX(GeobyClient[GEOID],MATCH(VolumebyClient[[#This Row],[CLID]],GeobyClient[Right],0))</f>
        <v>GEO1003</v>
      </c>
      <c r="G724" s="1" t="str">
        <f>VLOOKUP(VolumebyClient[[#This Row],[Index Match Region ID]],GEONames[[GEOID]:[GEO NAME]],2,FALSE)</f>
        <v>EMEA</v>
      </c>
      <c r="H724" s="1" t="str">
        <f>"Q"&amp;ROUNDUP(MONTH(VolumebyClient[[#This Row],[Date]])/3,0)&amp;" "&amp;YEAR(VolumebyClient[[#This Row],[Date]])</f>
        <v>Q4 2020</v>
      </c>
      <c r="I724" s="1" t="str">
        <f>VLOOKUP(VolumebyClient[[#This Row],[Date]],Quarters[],3,TRUE)</f>
        <v>Q4 2020</v>
      </c>
    </row>
    <row r="725" spans="1:9" x14ac:dyDescent="0.2">
      <c r="A725" s="2" t="s">
        <v>18</v>
      </c>
      <c r="B725" s="10">
        <v>44165</v>
      </c>
      <c r="C725" s="5">
        <v>627</v>
      </c>
      <c r="D725" s="1">
        <f>LEN(VolumebyClient[[#This Row],[CLID]])</f>
        <v>7</v>
      </c>
      <c r="F725" s="1" t="str">
        <f>INDEX(GeobyClient[GEOID],MATCH(VolumebyClient[[#This Row],[CLID]],GeobyClient[Right],0))</f>
        <v>GEO1003</v>
      </c>
      <c r="G725" s="1" t="str">
        <f>VLOOKUP(VolumebyClient[[#This Row],[Index Match Region ID]],GEONames[[GEOID]:[GEO NAME]],2,FALSE)</f>
        <v>EMEA</v>
      </c>
      <c r="H725" s="1" t="str">
        <f>"Q"&amp;ROUNDUP(MONTH(VolumebyClient[[#This Row],[Date]])/3,0)&amp;" "&amp;YEAR(VolumebyClient[[#This Row],[Date]])</f>
        <v>Q4 2020</v>
      </c>
      <c r="I725" s="1" t="str">
        <f>VLOOKUP(VolumebyClient[[#This Row],[Date]],Quarters[],3,TRUE)</f>
        <v>Q4 2020</v>
      </c>
    </row>
    <row r="726" spans="1:9" x14ac:dyDescent="0.2">
      <c r="A726" s="2" t="s">
        <v>18</v>
      </c>
      <c r="B726" s="10">
        <v>44196</v>
      </c>
      <c r="C726" s="5">
        <v>429</v>
      </c>
      <c r="D726" s="1">
        <f>LEN(VolumebyClient[[#This Row],[CLID]])</f>
        <v>7</v>
      </c>
      <c r="F726" s="1" t="str">
        <f>INDEX(GeobyClient[GEOID],MATCH(VolumebyClient[[#This Row],[CLID]],GeobyClient[Right],0))</f>
        <v>GEO1003</v>
      </c>
      <c r="G726" s="1" t="str">
        <f>VLOOKUP(VolumebyClient[[#This Row],[Index Match Region ID]],GEONames[[GEOID]:[GEO NAME]],2,FALSE)</f>
        <v>EMEA</v>
      </c>
      <c r="H726" s="1" t="str">
        <f>"Q"&amp;ROUNDUP(MONTH(VolumebyClient[[#This Row],[Date]])/3,0)&amp;" "&amp;YEAR(VolumebyClient[[#This Row],[Date]])</f>
        <v>Q4 2020</v>
      </c>
      <c r="I726" s="1" t="str">
        <f>VLOOKUP(VolumebyClient[[#This Row],[Date]],Quarters[],3,TRUE)</f>
        <v>Q4 2020</v>
      </c>
    </row>
    <row r="727" spans="1:9" x14ac:dyDescent="0.2">
      <c r="A727" s="2" t="s">
        <v>18</v>
      </c>
      <c r="B727" s="10">
        <v>44377</v>
      </c>
      <c r="C727" s="5">
        <v>441</v>
      </c>
      <c r="D727" s="1">
        <f>LEN(VolumebyClient[[#This Row],[CLID]])</f>
        <v>7</v>
      </c>
      <c r="F727" s="1" t="str">
        <f>INDEX(GeobyClient[GEOID],MATCH(VolumebyClient[[#This Row],[CLID]],GeobyClient[Right],0))</f>
        <v>GEO1003</v>
      </c>
      <c r="G727" s="1" t="str">
        <f>VLOOKUP(VolumebyClient[[#This Row],[Index Match Region ID]],GEONames[[GEOID]:[GEO NAME]],2,FALSE)</f>
        <v>EMEA</v>
      </c>
      <c r="H727" s="1" t="str">
        <f>"Q"&amp;ROUNDUP(MONTH(VolumebyClient[[#This Row],[Date]])/3,0)&amp;" "&amp;YEAR(VolumebyClient[[#This Row],[Date]])</f>
        <v>Q2 2021</v>
      </c>
      <c r="I727" s="1" t="str">
        <f>VLOOKUP(VolumebyClient[[#This Row],[Date]],Quarters[],3,TRUE)</f>
        <v>Q2 2021</v>
      </c>
    </row>
    <row r="728" spans="1:9" x14ac:dyDescent="0.2">
      <c r="A728" s="2" t="s">
        <v>18</v>
      </c>
      <c r="B728" s="10">
        <v>44347</v>
      </c>
      <c r="C728" s="5">
        <v>813</v>
      </c>
      <c r="D728" s="1">
        <f>LEN(VolumebyClient[[#This Row],[CLID]])</f>
        <v>7</v>
      </c>
      <c r="F728" s="1" t="str">
        <f>INDEX(GeobyClient[GEOID],MATCH(VolumebyClient[[#This Row],[CLID]],GeobyClient[Right],0))</f>
        <v>GEO1003</v>
      </c>
      <c r="G728" s="1" t="str">
        <f>VLOOKUP(VolumebyClient[[#This Row],[Index Match Region ID]],GEONames[[GEOID]:[GEO NAME]],2,FALSE)</f>
        <v>EMEA</v>
      </c>
      <c r="H728" s="1" t="str">
        <f>"Q"&amp;ROUNDUP(MONTH(VolumebyClient[[#This Row],[Date]])/3,0)&amp;" "&amp;YEAR(VolumebyClient[[#This Row],[Date]])</f>
        <v>Q2 2021</v>
      </c>
      <c r="I728" s="1" t="str">
        <f>VLOOKUP(VolumebyClient[[#This Row],[Date]],Quarters[],3,TRUE)</f>
        <v>Q2 2021</v>
      </c>
    </row>
    <row r="729" spans="1:9" x14ac:dyDescent="0.2">
      <c r="A729" s="2" t="s">
        <v>18</v>
      </c>
      <c r="B729" s="10">
        <v>44316</v>
      </c>
      <c r="C729" s="5">
        <v>689</v>
      </c>
      <c r="D729" s="1">
        <f>LEN(VolumebyClient[[#This Row],[CLID]])</f>
        <v>7</v>
      </c>
      <c r="F729" s="1" t="str">
        <f>INDEX(GeobyClient[GEOID],MATCH(VolumebyClient[[#This Row],[CLID]],GeobyClient[Right],0))</f>
        <v>GEO1003</v>
      </c>
      <c r="G729" s="1" t="str">
        <f>VLOOKUP(VolumebyClient[[#This Row],[Index Match Region ID]],GEONames[[GEOID]:[GEO NAME]],2,FALSE)</f>
        <v>EMEA</v>
      </c>
      <c r="H729" s="1" t="str">
        <f>"Q"&amp;ROUNDUP(MONTH(VolumebyClient[[#This Row],[Date]])/3,0)&amp;" "&amp;YEAR(VolumebyClient[[#This Row],[Date]])</f>
        <v>Q2 2021</v>
      </c>
      <c r="I729" s="1" t="str">
        <f>VLOOKUP(VolumebyClient[[#This Row],[Date]],Quarters[],3,TRUE)</f>
        <v>Q2 2021</v>
      </c>
    </row>
    <row r="730" spans="1:9" x14ac:dyDescent="0.2">
      <c r="A730" s="2" t="s">
        <v>18</v>
      </c>
      <c r="B730" s="10">
        <v>44286</v>
      </c>
      <c r="C730" s="5">
        <v>769</v>
      </c>
      <c r="D730" s="1">
        <f>LEN(VolumebyClient[[#This Row],[CLID]])</f>
        <v>7</v>
      </c>
      <c r="F730" s="1" t="str">
        <f>INDEX(GeobyClient[GEOID],MATCH(VolumebyClient[[#This Row],[CLID]],GeobyClient[Right],0))</f>
        <v>GEO1003</v>
      </c>
      <c r="G730" s="1" t="str">
        <f>VLOOKUP(VolumebyClient[[#This Row],[Index Match Region ID]],GEONames[[GEOID]:[GEO NAME]],2,FALSE)</f>
        <v>EMEA</v>
      </c>
      <c r="H730" s="1" t="str">
        <f>"Q"&amp;ROUNDUP(MONTH(VolumebyClient[[#This Row],[Date]])/3,0)&amp;" "&amp;YEAR(VolumebyClient[[#This Row],[Date]])</f>
        <v>Q1 2021</v>
      </c>
      <c r="I730" s="1" t="str">
        <f>VLOOKUP(VolumebyClient[[#This Row],[Date]],Quarters[],3,TRUE)</f>
        <v>Q1 2021</v>
      </c>
    </row>
    <row r="731" spans="1:9" x14ac:dyDescent="0.2">
      <c r="A731" s="2" t="s">
        <v>18</v>
      </c>
      <c r="B731" s="10">
        <v>44255</v>
      </c>
      <c r="C731" s="5">
        <v>504</v>
      </c>
      <c r="D731" s="1">
        <f>LEN(VolumebyClient[[#This Row],[CLID]])</f>
        <v>7</v>
      </c>
      <c r="F731" s="1" t="str">
        <f>INDEX(GeobyClient[GEOID],MATCH(VolumebyClient[[#This Row],[CLID]],GeobyClient[Right],0))</f>
        <v>GEO1003</v>
      </c>
      <c r="G731" s="1" t="str">
        <f>VLOOKUP(VolumebyClient[[#This Row],[Index Match Region ID]],GEONames[[GEOID]:[GEO NAME]],2,FALSE)</f>
        <v>EMEA</v>
      </c>
      <c r="H731" s="1" t="str">
        <f>"Q"&amp;ROUNDUP(MONTH(VolumebyClient[[#This Row],[Date]])/3,0)&amp;" "&amp;YEAR(VolumebyClient[[#This Row],[Date]])</f>
        <v>Q1 2021</v>
      </c>
      <c r="I731" s="1" t="str">
        <f>VLOOKUP(VolumebyClient[[#This Row],[Date]],Quarters[],3,TRUE)</f>
        <v>Q1 2021</v>
      </c>
    </row>
    <row r="732" spans="1:9" x14ac:dyDescent="0.2">
      <c r="A732" s="2" t="s">
        <v>18</v>
      </c>
      <c r="B732" s="10">
        <v>44227</v>
      </c>
      <c r="C732" s="5">
        <v>618</v>
      </c>
      <c r="D732" s="1">
        <f>LEN(VolumebyClient[[#This Row],[CLID]])</f>
        <v>7</v>
      </c>
      <c r="F732" s="1" t="str">
        <f>INDEX(GeobyClient[GEOID],MATCH(VolumebyClient[[#This Row],[CLID]],GeobyClient[Right],0))</f>
        <v>GEO1003</v>
      </c>
      <c r="G732" s="1" t="str">
        <f>VLOOKUP(VolumebyClient[[#This Row],[Index Match Region ID]],GEONames[[GEOID]:[GEO NAME]],2,FALSE)</f>
        <v>EMEA</v>
      </c>
      <c r="H732" s="1" t="str">
        <f>"Q"&amp;ROUNDUP(MONTH(VolumebyClient[[#This Row],[Date]])/3,0)&amp;" "&amp;YEAR(VolumebyClient[[#This Row],[Date]])</f>
        <v>Q1 2021</v>
      </c>
      <c r="I732" s="1" t="str">
        <f>VLOOKUP(VolumebyClient[[#This Row],[Date]],Quarters[],3,TRUE)</f>
        <v>Q1 2021</v>
      </c>
    </row>
    <row r="733" spans="1:9" x14ac:dyDescent="0.2">
      <c r="A733" s="2" t="s">
        <v>20</v>
      </c>
      <c r="B733" s="10">
        <v>43861</v>
      </c>
      <c r="C733" s="5">
        <v>19825</v>
      </c>
      <c r="D733" s="1">
        <f>LEN(VolumebyClient[[#This Row],[CLID]])</f>
        <v>7</v>
      </c>
      <c r="F733" s="1" t="str">
        <f>INDEX(GeobyClient[GEOID],MATCH(VolumebyClient[[#This Row],[CLID]],GeobyClient[Right],0))</f>
        <v>GEO1003</v>
      </c>
      <c r="G733" s="1" t="str">
        <f>VLOOKUP(VolumebyClient[[#This Row],[Index Match Region ID]],GEONames[[GEOID]:[GEO NAME]],2,FALSE)</f>
        <v>EMEA</v>
      </c>
      <c r="H733" s="1" t="str">
        <f>"Q"&amp;ROUNDUP(MONTH(VolumebyClient[[#This Row],[Date]])/3,0)&amp;" "&amp;YEAR(VolumebyClient[[#This Row],[Date]])</f>
        <v>Q1 2020</v>
      </c>
      <c r="I733" s="1" t="str">
        <f>VLOOKUP(VolumebyClient[[#This Row],[Date]],Quarters[],3,TRUE)</f>
        <v>Q1 2020</v>
      </c>
    </row>
    <row r="734" spans="1:9" x14ac:dyDescent="0.2">
      <c r="A734" s="2" t="s">
        <v>20</v>
      </c>
      <c r="B734" s="10">
        <v>43890</v>
      </c>
      <c r="C734" s="5">
        <v>28323</v>
      </c>
      <c r="D734" s="1">
        <f>LEN(VolumebyClient[[#This Row],[CLID]])</f>
        <v>7</v>
      </c>
      <c r="F734" s="1" t="str">
        <f>INDEX(GeobyClient[GEOID],MATCH(VolumebyClient[[#This Row],[CLID]],GeobyClient[Right],0))</f>
        <v>GEO1003</v>
      </c>
      <c r="G734" s="1" t="str">
        <f>VLOOKUP(VolumebyClient[[#This Row],[Index Match Region ID]],GEONames[[GEOID]:[GEO NAME]],2,FALSE)</f>
        <v>EMEA</v>
      </c>
      <c r="H734" s="1" t="str">
        <f>"Q"&amp;ROUNDUP(MONTH(VolumebyClient[[#This Row],[Date]])/3,0)&amp;" "&amp;YEAR(VolumebyClient[[#This Row],[Date]])</f>
        <v>Q1 2020</v>
      </c>
      <c r="I734" s="1" t="str">
        <f>VLOOKUP(VolumebyClient[[#This Row],[Date]],Quarters[],3,TRUE)</f>
        <v>Q1 2020</v>
      </c>
    </row>
    <row r="735" spans="1:9" x14ac:dyDescent="0.2">
      <c r="A735" s="2" t="s">
        <v>20</v>
      </c>
      <c r="B735" s="10">
        <v>43921</v>
      </c>
      <c r="C735" s="5">
        <v>25490</v>
      </c>
      <c r="D735" s="1">
        <f>LEN(VolumebyClient[[#This Row],[CLID]])</f>
        <v>7</v>
      </c>
      <c r="F735" s="1" t="str">
        <f>INDEX(GeobyClient[GEOID],MATCH(VolumebyClient[[#This Row],[CLID]],GeobyClient[Right],0))</f>
        <v>GEO1003</v>
      </c>
      <c r="G735" s="1" t="str">
        <f>VLOOKUP(VolumebyClient[[#This Row],[Index Match Region ID]],GEONames[[GEOID]:[GEO NAME]],2,FALSE)</f>
        <v>EMEA</v>
      </c>
      <c r="H735" s="1" t="str">
        <f>"Q"&amp;ROUNDUP(MONTH(VolumebyClient[[#This Row],[Date]])/3,0)&amp;" "&amp;YEAR(VolumebyClient[[#This Row],[Date]])</f>
        <v>Q1 2020</v>
      </c>
      <c r="I735" s="1" t="str">
        <f>VLOOKUP(VolumebyClient[[#This Row],[Date]],Quarters[],3,TRUE)</f>
        <v>Q1 2020</v>
      </c>
    </row>
    <row r="736" spans="1:9" x14ac:dyDescent="0.2">
      <c r="A736" s="2" t="s">
        <v>20</v>
      </c>
      <c r="B736" s="10">
        <v>43951</v>
      </c>
      <c r="C736" s="5">
        <v>36816</v>
      </c>
      <c r="D736" s="1">
        <f>LEN(VolumebyClient[[#This Row],[CLID]])</f>
        <v>7</v>
      </c>
      <c r="F736" s="1" t="str">
        <f>INDEX(GeobyClient[GEOID],MATCH(VolumebyClient[[#This Row],[CLID]],GeobyClient[Right],0))</f>
        <v>GEO1003</v>
      </c>
      <c r="G736" s="1" t="str">
        <f>VLOOKUP(VolumebyClient[[#This Row],[Index Match Region ID]],GEONames[[GEOID]:[GEO NAME]],2,FALSE)</f>
        <v>EMEA</v>
      </c>
      <c r="H736" s="1" t="str">
        <f>"Q"&amp;ROUNDUP(MONTH(VolumebyClient[[#This Row],[Date]])/3,0)&amp;" "&amp;YEAR(VolumebyClient[[#This Row],[Date]])</f>
        <v>Q2 2020</v>
      </c>
      <c r="I736" s="1" t="str">
        <f>VLOOKUP(VolumebyClient[[#This Row],[Date]],Quarters[],3,TRUE)</f>
        <v>Q2 2020</v>
      </c>
    </row>
    <row r="737" spans="1:9" x14ac:dyDescent="0.2">
      <c r="A737" s="2" t="s">
        <v>20</v>
      </c>
      <c r="B737" s="10">
        <v>43982</v>
      </c>
      <c r="C737" s="5">
        <v>28322</v>
      </c>
      <c r="D737" s="1">
        <f>LEN(VolumebyClient[[#This Row],[CLID]])</f>
        <v>7</v>
      </c>
      <c r="F737" s="1" t="str">
        <f>INDEX(GeobyClient[GEOID],MATCH(VolumebyClient[[#This Row],[CLID]],GeobyClient[Right],0))</f>
        <v>GEO1003</v>
      </c>
      <c r="G737" s="1" t="str">
        <f>VLOOKUP(VolumebyClient[[#This Row],[Index Match Region ID]],GEONames[[GEOID]:[GEO NAME]],2,FALSE)</f>
        <v>EMEA</v>
      </c>
      <c r="H737" s="1" t="str">
        <f>"Q"&amp;ROUNDUP(MONTH(VolumebyClient[[#This Row],[Date]])/3,0)&amp;" "&amp;YEAR(VolumebyClient[[#This Row],[Date]])</f>
        <v>Q2 2020</v>
      </c>
      <c r="I737" s="1" t="str">
        <f>VLOOKUP(VolumebyClient[[#This Row],[Date]],Quarters[],3,TRUE)</f>
        <v>Q2 2020</v>
      </c>
    </row>
    <row r="738" spans="1:9" x14ac:dyDescent="0.2">
      <c r="A738" s="2" t="s">
        <v>20</v>
      </c>
      <c r="B738" s="10">
        <v>44012</v>
      </c>
      <c r="C738" s="5">
        <v>25486</v>
      </c>
      <c r="D738" s="1">
        <f>LEN(VolumebyClient[[#This Row],[CLID]])</f>
        <v>7</v>
      </c>
      <c r="F738" s="1" t="str">
        <f>INDEX(GeobyClient[GEOID],MATCH(VolumebyClient[[#This Row],[CLID]],GeobyClient[Right],0))</f>
        <v>GEO1003</v>
      </c>
      <c r="G738" s="1" t="str">
        <f>VLOOKUP(VolumebyClient[[#This Row],[Index Match Region ID]],GEONames[[GEOID]:[GEO NAME]],2,FALSE)</f>
        <v>EMEA</v>
      </c>
      <c r="H738" s="1" t="str">
        <f>"Q"&amp;ROUNDUP(MONTH(VolumebyClient[[#This Row],[Date]])/3,0)&amp;" "&amp;YEAR(VolumebyClient[[#This Row],[Date]])</f>
        <v>Q2 2020</v>
      </c>
      <c r="I738" s="1" t="str">
        <f>VLOOKUP(VolumebyClient[[#This Row],[Date]],Quarters[],3,TRUE)</f>
        <v>Q2 2020</v>
      </c>
    </row>
    <row r="739" spans="1:9" x14ac:dyDescent="0.2">
      <c r="A739" s="2" t="s">
        <v>20</v>
      </c>
      <c r="B739" s="10">
        <v>44043</v>
      </c>
      <c r="C739" s="5">
        <v>16995</v>
      </c>
      <c r="D739" s="1">
        <f>LEN(VolumebyClient[[#This Row],[CLID]])</f>
        <v>7</v>
      </c>
      <c r="F739" s="1" t="str">
        <f>INDEX(GeobyClient[GEOID],MATCH(VolumebyClient[[#This Row],[CLID]],GeobyClient[Right],0))</f>
        <v>GEO1003</v>
      </c>
      <c r="G739" s="1" t="str">
        <f>VLOOKUP(VolumebyClient[[#This Row],[Index Match Region ID]],GEONames[[GEOID]:[GEO NAME]],2,FALSE)</f>
        <v>EMEA</v>
      </c>
      <c r="H739" s="1" t="str">
        <f>"Q"&amp;ROUNDUP(MONTH(VolumebyClient[[#This Row],[Date]])/3,0)&amp;" "&amp;YEAR(VolumebyClient[[#This Row],[Date]])</f>
        <v>Q3 2020</v>
      </c>
      <c r="I739" s="1" t="str">
        <f>VLOOKUP(VolumebyClient[[#This Row],[Date]],Quarters[],3,TRUE)</f>
        <v>Q3 2020</v>
      </c>
    </row>
    <row r="740" spans="1:9" x14ac:dyDescent="0.2">
      <c r="A740" s="2" t="s">
        <v>20</v>
      </c>
      <c r="B740" s="10">
        <v>44074</v>
      </c>
      <c r="C740" s="5">
        <v>19826</v>
      </c>
      <c r="D740" s="1">
        <f>LEN(VolumebyClient[[#This Row],[CLID]])</f>
        <v>7</v>
      </c>
      <c r="F740" s="1" t="str">
        <f>INDEX(GeobyClient[GEOID],MATCH(VolumebyClient[[#This Row],[CLID]],GeobyClient[Right],0))</f>
        <v>GEO1003</v>
      </c>
      <c r="G740" s="1" t="str">
        <f>VLOOKUP(VolumebyClient[[#This Row],[Index Match Region ID]],GEONames[[GEOID]:[GEO NAME]],2,FALSE)</f>
        <v>EMEA</v>
      </c>
      <c r="H740" s="1" t="str">
        <f>"Q"&amp;ROUNDUP(MONTH(VolumebyClient[[#This Row],[Date]])/3,0)&amp;" "&amp;YEAR(VolumebyClient[[#This Row],[Date]])</f>
        <v>Q3 2020</v>
      </c>
      <c r="I740" s="1" t="str">
        <f>VLOOKUP(VolumebyClient[[#This Row],[Date]],Quarters[],3,TRUE)</f>
        <v>Q3 2020</v>
      </c>
    </row>
    <row r="741" spans="1:9" x14ac:dyDescent="0.2">
      <c r="A741" s="2" t="s">
        <v>20</v>
      </c>
      <c r="B741" s="10">
        <v>44104</v>
      </c>
      <c r="C741" s="5">
        <v>14163</v>
      </c>
      <c r="D741" s="1">
        <f>LEN(VolumebyClient[[#This Row],[CLID]])</f>
        <v>7</v>
      </c>
      <c r="F741" s="1" t="str">
        <f>INDEX(GeobyClient[GEOID],MATCH(VolumebyClient[[#This Row],[CLID]],GeobyClient[Right],0))</f>
        <v>GEO1003</v>
      </c>
      <c r="G741" s="1" t="str">
        <f>VLOOKUP(VolumebyClient[[#This Row],[Index Match Region ID]],GEONames[[GEOID]:[GEO NAME]],2,FALSE)</f>
        <v>EMEA</v>
      </c>
      <c r="H741" s="1" t="str">
        <f>"Q"&amp;ROUNDUP(MONTH(VolumebyClient[[#This Row],[Date]])/3,0)&amp;" "&amp;YEAR(VolumebyClient[[#This Row],[Date]])</f>
        <v>Q3 2020</v>
      </c>
      <c r="I741" s="1" t="str">
        <f>VLOOKUP(VolumebyClient[[#This Row],[Date]],Quarters[],3,TRUE)</f>
        <v>Q3 2020</v>
      </c>
    </row>
    <row r="742" spans="1:9" x14ac:dyDescent="0.2">
      <c r="A742" s="2" t="s">
        <v>20</v>
      </c>
      <c r="B742" s="10">
        <v>44135</v>
      </c>
      <c r="C742" s="5">
        <v>22655</v>
      </c>
      <c r="D742" s="1">
        <f>LEN(VolumebyClient[[#This Row],[CLID]])</f>
        <v>7</v>
      </c>
      <c r="F742" s="1" t="str">
        <f>INDEX(GeobyClient[GEOID],MATCH(VolumebyClient[[#This Row],[CLID]],GeobyClient[Right],0))</f>
        <v>GEO1003</v>
      </c>
      <c r="G742" s="1" t="str">
        <f>VLOOKUP(VolumebyClient[[#This Row],[Index Match Region ID]],GEONames[[GEOID]:[GEO NAME]],2,FALSE)</f>
        <v>EMEA</v>
      </c>
      <c r="H742" s="1" t="str">
        <f>"Q"&amp;ROUNDUP(MONTH(VolumebyClient[[#This Row],[Date]])/3,0)&amp;" "&amp;YEAR(VolumebyClient[[#This Row],[Date]])</f>
        <v>Q4 2020</v>
      </c>
      <c r="I742" s="1" t="str">
        <f>VLOOKUP(VolumebyClient[[#This Row],[Date]],Quarters[],3,TRUE)</f>
        <v>Q4 2020</v>
      </c>
    </row>
    <row r="743" spans="1:9" x14ac:dyDescent="0.2">
      <c r="A743" s="2" t="s">
        <v>20</v>
      </c>
      <c r="B743" s="10">
        <v>44165</v>
      </c>
      <c r="C743" s="5">
        <v>19822</v>
      </c>
      <c r="D743" s="1">
        <f>LEN(VolumebyClient[[#This Row],[CLID]])</f>
        <v>7</v>
      </c>
      <c r="F743" s="1" t="str">
        <f>INDEX(GeobyClient[GEOID],MATCH(VolumebyClient[[#This Row],[CLID]],GeobyClient[Right],0))</f>
        <v>GEO1003</v>
      </c>
      <c r="G743" s="1" t="str">
        <f>VLOOKUP(VolumebyClient[[#This Row],[Index Match Region ID]],GEONames[[GEOID]:[GEO NAME]],2,FALSE)</f>
        <v>EMEA</v>
      </c>
      <c r="H743" s="1" t="str">
        <f>"Q"&amp;ROUNDUP(MONTH(VolumebyClient[[#This Row],[Date]])/3,0)&amp;" "&amp;YEAR(VolumebyClient[[#This Row],[Date]])</f>
        <v>Q4 2020</v>
      </c>
      <c r="I743" s="1" t="str">
        <f>VLOOKUP(VolumebyClient[[#This Row],[Date]],Quarters[],3,TRUE)</f>
        <v>Q4 2020</v>
      </c>
    </row>
    <row r="744" spans="1:9" x14ac:dyDescent="0.2">
      <c r="A744" s="2" t="s">
        <v>20</v>
      </c>
      <c r="B744" s="10">
        <v>44196</v>
      </c>
      <c r="C744" s="5">
        <v>25485</v>
      </c>
      <c r="D744" s="1">
        <f>LEN(VolumebyClient[[#This Row],[CLID]])</f>
        <v>7</v>
      </c>
      <c r="F744" s="1" t="str">
        <f>INDEX(GeobyClient[GEOID],MATCH(VolumebyClient[[#This Row],[CLID]],GeobyClient[Right],0))</f>
        <v>GEO1003</v>
      </c>
      <c r="G744" s="1" t="str">
        <f>VLOOKUP(VolumebyClient[[#This Row],[Index Match Region ID]],GEONames[[GEOID]:[GEO NAME]],2,FALSE)</f>
        <v>EMEA</v>
      </c>
      <c r="H744" s="1" t="str">
        <f>"Q"&amp;ROUNDUP(MONTH(VolumebyClient[[#This Row],[Date]])/3,0)&amp;" "&amp;YEAR(VolumebyClient[[#This Row],[Date]])</f>
        <v>Q4 2020</v>
      </c>
      <c r="I744" s="1" t="str">
        <f>VLOOKUP(VolumebyClient[[#This Row],[Date]],Quarters[],3,TRUE)</f>
        <v>Q4 2020</v>
      </c>
    </row>
    <row r="745" spans="1:9" x14ac:dyDescent="0.2">
      <c r="A745" s="2" t="s">
        <v>20</v>
      </c>
      <c r="B745" s="10">
        <v>44377</v>
      </c>
      <c r="C745" s="5">
        <v>26509</v>
      </c>
      <c r="D745" s="1">
        <f>LEN(VolumebyClient[[#This Row],[CLID]])</f>
        <v>7</v>
      </c>
      <c r="F745" s="1" t="str">
        <f>INDEX(GeobyClient[GEOID],MATCH(VolumebyClient[[#This Row],[CLID]],GeobyClient[Right],0))</f>
        <v>GEO1003</v>
      </c>
      <c r="G745" s="1" t="str">
        <f>VLOOKUP(VolumebyClient[[#This Row],[Index Match Region ID]],GEONames[[GEOID]:[GEO NAME]],2,FALSE)</f>
        <v>EMEA</v>
      </c>
      <c r="H745" s="1" t="str">
        <f>"Q"&amp;ROUNDUP(MONTH(VolumebyClient[[#This Row],[Date]])/3,0)&amp;" "&amp;YEAR(VolumebyClient[[#This Row],[Date]])</f>
        <v>Q2 2021</v>
      </c>
      <c r="I745" s="1" t="str">
        <f>VLOOKUP(VolumebyClient[[#This Row],[Date]],Quarters[],3,TRUE)</f>
        <v>Q2 2021</v>
      </c>
    </row>
    <row r="746" spans="1:9" x14ac:dyDescent="0.2">
      <c r="A746" s="2" t="s">
        <v>20</v>
      </c>
      <c r="B746" s="10">
        <v>44347</v>
      </c>
      <c r="C746" s="5">
        <v>28176</v>
      </c>
      <c r="D746" s="1">
        <f>LEN(VolumebyClient[[#This Row],[CLID]])</f>
        <v>7</v>
      </c>
      <c r="F746" s="1" t="str">
        <f>INDEX(GeobyClient[GEOID],MATCH(VolumebyClient[[#This Row],[CLID]],GeobyClient[Right],0))</f>
        <v>GEO1003</v>
      </c>
      <c r="G746" s="1" t="str">
        <f>VLOOKUP(VolumebyClient[[#This Row],[Index Match Region ID]],GEONames[[GEOID]:[GEO NAME]],2,FALSE)</f>
        <v>EMEA</v>
      </c>
      <c r="H746" s="1" t="str">
        <f>"Q"&amp;ROUNDUP(MONTH(VolumebyClient[[#This Row],[Date]])/3,0)&amp;" "&amp;YEAR(VolumebyClient[[#This Row],[Date]])</f>
        <v>Q2 2021</v>
      </c>
      <c r="I746" s="1" t="str">
        <f>VLOOKUP(VolumebyClient[[#This Row],[Date]],Quarters[],3,TRUE)</f>
        <v>Q2 2021</v>
      </c>
    </row>
    <row r="747" spans="1:9" x14ac:dyDescent="0.2">
      <c r="A747" s="2" t="s">
        <v>20</v>
      </c>
      <c r="B747" s="10">
        <v>44316</v>
      </c>
      <c r="C747" s="5">
        <v>37182</v>
      </c>
      <c r="D747" s="1">
        <f>LEN(VolumebyClient[[#This Row],[CLID]])</f>
        <v>7</v>
      </c>
      <c r="F747" s="1" t="str">
        <f>INDEX(GeobyClient[GEOID],MATCH(VolumebyClient[[#This Row],[CLID]],GeobyClient[Right],0))</f>
        <v>GEO1003</v>
      </c>
      <c r="G747" s="1" t="str">
        <f>VLOOKUP(VolumebyClient[[#This Row],[Index Match Region ID]],GEONames[[GEOID]:[GEO NAME]],2,FALSE)</f>
        <v>EMEA</v>
      </c>
      <c r="H747" s="1" t="str">
        <f>"Q"&amp;ROUNDUP(MONTH(VolumebyClient[[#This Row],[Date]])/3,0)&amp;" "&amp;YEAR(VolumebyClient[[#This Row],[Date]])</f>
        <v>Q2 2021</v>
      </c>
      <c r="I747" s="1" t="str">
        <f>VLOOKUP(VolumebyClient[[#This Row],[Date]],Quarters[],3,TRUE)</f>
        <v>Q2 2021</v>
      </c>
    </row>
    <row r="748" spans="1:9" x14ac:dyDescent="0.2">
      <c r="A748" s="2" t="s">
        <v>20</v>
      </c>
      <c r="B748" s="10">
        <v>44286</v>
      </c>
      <c r="C748" s="5">
        <v>25741</v>
      </c>
      <c r="D748" s="1">
        <f>LEN(VolumebyClient[[#This Row],[CLID]])</f>
        <v>7</v>
      </c>
      <c r="F748" s="1" t="str">
        <f>INDEX(GeobyClient[GEOID],MATCH(VolumebyClient[[#This Row],[CLID]],GeobyClient[Right],0))</f>
        <v>GEO1003</v>
      </c>
      <c r="G748" s="1" t="str">
        <f>VLOOKUP(VolumebyClient[[#This Row],[Index Match Region ID]],GEONames[[GEOID]:[GEO NAME]],2,FALSE)</f>
        <v>EMEA</v>
      </c>
      <c r="H748" s="1" t="str">
        <f>"Q"&amp;ROUNDUP(MONTH(VolumebyClient[[#This Row],[Date]])/3,0)&amp;" "&amp;YEAR(VolumebyClient[[#This Row],[Date]])</f>
        <v>Q1 2021</v>
      </c>
      <c r="I748" s="1" t="str">
        <f>VLOOKUP(VolumebyClient[[#This Row],[Date]],Quarters[],3,TRUE)</f>
        <v>Q1 2021</v>
      </c>
    </row>
    <row r="749" spans="1:9" x14ac:dyDescent="0.2">
      <c r="A749" s="2" t="s">
        <v>20</v>
      </c>
      <c r="B749" s="10">
        <v>44255</v>
      </c>
      <c r="C749" s="5">
        <v>28605</v>
      </c>
      <c r="D749" s="1">
        <f>LEN(VolumebyClient[[#This Row],[CLID]])</f>
        <v>7</v>
      </c>
      <c r="F749" s="1" t="str">
        <f>INDEX(GeobyClient[GEOID],MATCH(VolumebyClient[[#This Row],[CLID]],GeobyClient[Right],0))</f>
        <v>GEO1003</v>
      </c>
      <c r="G749" s="1" t="str">
        <f>VLOOKUP(VolumebyClient[[#This Row],[Index Match Region ID]],GEONames[[GEOID]:[GEO NAME]],2,FALSE)</f>
        <v>EMEA</v>
      </c>
      <c r="H749" s="1" t="str">
        <f>"Q"&amp;ROUNDUP(MONTH(VolumebyClient[[#This Row],[Date]])/3,0)&amp;" "&amp;YEAR(VolumebyClient[[#This Row],[Date]])</f>
        <v>Q1 2021</v>
      </c>
      <c r="I749" s="1" t="str">
        <f>VLOOKUP(VolumebyClient[[#This Row],[Date]],Quarters[],3,TRUE)</f>
        <v>Q1 2021</v>
      </c>
    </row>
    <row r="750" spans="1:9" x14ac:dyDescent="0.2">
      <c r="A750" s="2" t="s">
        <v>20</v>
      </c>
      <c r="B750" s="10">
        <v>44227</v>
      </c>
      <c r="C750" s="5">
        <v>20218</v>
      </c>
      <c r="D750" s="1">
        <f>LEN(VolumebyClient[[#This Row],[CLID]])</f>
        <v>7</v>
      </c>
      <c r="F750" s="1" t="str">
        <f>INDEX(GeobyClient[GEOID],MATCH(VolumebyClient[[#This Row],[CLID]],GeobyClient[Right],0))</f>
        <v>GEO1003</v>
      </c>
      <c r="G750" s="1" t="str">
        <f>VLOOKUP(VolumebyClient[[#This Row],[Index Match Region ID]],GEONames[[GEOID]:[GEO NAME]],2,FALSE)</f>
        <v>EMEA</v>
      </c>
      <c r="H750" s="1" t="str">
        <f>"Q"&amp;ROUNDUP(MONTH(VolumebyClient[[#This Row],[Date]])/3,0)&amp;" "&amp;YEAR(VolumebyClient[[#This Row],[Date]])</f>
        <v>Q1 2021</v>
      </c>
      <c r="I750" s="1" t="str">
        <f>VLOOKUP(VolumebyClient[[#This Row],[Date]],Quarters[],3,TRUE)</f>
        <v>Q1 2021</v>
      </c>
    </row>
    <row r="751" spans="1:9" x14ac:dyDescent="0.2">
      <c r="A751" s="2" t="s">
        <v>32</v>
      </c>
      <c r="B751" s="10">
        <v>43861</v>
      </c>
      <c r="C751" s="5">
        <v>967</v>
      </c>
      <c r="D751" s="1">
        <f>LEN(VolumebyClient[[#This Row],[CLID]])</f>
        <v>7</v>
      </c>
      <c r="F751" s="1" t="str">
        <f>INDEX(GeobyClient[GEOID],MATCH(VolumebyClient[[#This Row],[CLID]],GeobyClient[Right],0))</f>
        <v>GEO1003</v>
      </c>
      <c r="G751" s="1" t="str">
        <f>VLOOKUP(VolumebyClient[[#This Row],[Index Match Region ID]],GEONames[[GEOID]:[GEO NAME]],2,FALSE)</f>
        <v>EMEA</v>
      </c>
      <c r="H751" s="1" t="str">
        <f>"Q"&amp;ROUNDUP(MONTH(VolumebyClient[[#This Row],[Date]])/3,0)&amp;" "&amp;YEAR(VolumebyClient[[#This Row],[Date]])</f>
        <v>Q1 2020</v>
      </c>
      <c r="I751" s="1" t="str">
        <f>VLOOKUP(VolumebyClient[[#This Row],[Date]],Quarters[],3,TRUE)</f>
        <v>Q1 2020</v>
      </c>
    </row>
    <row r="752" spans="1:9" x14ac:dyDescent="0.2">
      <c r="A752" s="2" t="s">
        <v>32</v>
      </c>
      <c r="B752" s="10">
        <v>43890</v>
      </c>
      <c r="C752" s="5">
        <v>1088</v>
      </c>
      <c r="D752" s="1">
        <f>LEN(VolumebyClient[[#This Row],[CLID]])</f>
        <v>7</v>
      </c>
      <c r="F752" s="1" t="str">
        <f>INDEX(GeobyClient[GEOID],MATCH(VolumebyClient[[#This Row],[CLID]],GeobyClient[Right],0))</f>
        <v>GEO1003</v>
      </c>
      <c r="G752" s="1" t="str">
        <f>VLOOKUP(VolumebyClient[[#This Row],[Index Match Region ID]],GEONames[[GEOID]:[GEO NAME]],2,FALSE)</f>
        <v>EMEA</v>
      </c>
      <c r="H752" s="1" t="str">
        <f>"Q"&amp;ROUNDUP(MONTH(VolumebyClient[[#This Row],[Date]])/3,0)&amp;" "&amp;YEAR(VolumebyClient[[#This Row],[Date]])</f>
        <v>Q1 2020</v>
      </c>
      <c r="I752" s="1" t="str">
        <f>VLOOKUP(VolumebyClient[[#This Row],[Date]],Quarters[],3,TRUE)</f>
        <v>Q1 2020</v>
      </c>
    </row>
    <row r="753" spans="1:9" x14ac:dyDescent="0.2">
      <c r="A753" s="2" t="s">
        <v>32</v>
      </c>
      <c r="B753" s="10">
        <v>43921</v>
      </c>
      <c r="C753" s="5">
        <v>1209</v>
      </c>
      <c r="D753" s="1">
        <f>LEN(VolumebyClient[[#This Row],[CLID]])</f>
        <v>7</v>
      </c>
      <c r="F753" s="1" t="str">
        <f>INDEX(GeobyClient[GEOID],MATCH(VolumebyClient[[#This Row],[CLID]],GeobyClient[Right],0))</f>
        <v>GEO1003</v>
      </c>
      <c r="G753" s="1" t="str">
        <f>VLOOKUP(VolumebyClient[[#This Row],[Index Match Region ID]],GEONames[[GEOID]:[GEO NAME]],2,FALSE)</f>
        <v>EMEA</v>
      </c>
      <c r="H753" s="1" t="str">
        <f>"Q"&amp;ROUNDUP(MONTH(VolumebyClient[[#This Row],[Date]])/3,0)&amp;" "&amp;YEAR(VolumebyClient[[#This Row],[Date]])</f>
        <v>Q1 2020</v>
      </c>
      <c r="I753" s="1" t="str">
        <f>VLOOKUP(VolumebyClient[[#This Row],[Date]],Quarters[],3,TRUE)</f>
        <v>Q1 2020</v>
      </c>
    </row>
    <row r="754" spans="1:9" x14ac:dyDescent="0.2">
      <c r="A754" s="2" t="s">
        <v>32</v>
      </c>
      <c r="B754" s="10">
        <v>43951</v>
      </c>
      <c r="C754" s="5">
        <v>1449</v>
      </c>
      <c r="D754" s="1">
        <f>LEN(VolumebyClient[[#This Row],[CLID]])</f>
        <v>7</v>
      </c>
      <c r="F754" s="1" t="str">
        <f>INDEX(GeobyClient[GEOID],MATCH(VolumebyClient[[#This Row],[CLID]],GeobyClient[Right],0))</f>
        <v>GEO1003</v>
      </c>
      <c r="G754" s="1" t="str">
        <f>VLOOKUP(VolumebyClient[[#This Row],[Index Match Region ID]],GEONames[[GEOID]:[GEO NAME]],2,FALSE)</f>
        <v>EMEA</v>
      </c>
      <c r="H754" s="1" t="str">
        <f>"Q"&amp;ROUNDUP(MONTH(VolumebyClient[[#This Row],[Date]])/3,0)&amp;" "&amp;YEAR(VolumebyClient[[#This Row],[Date]])</f>
        <v>Q2 2020</v>
      </c>
      <c r="I754" s="1" t="str">
        <f>VLOOKUP(VolumebyClient[[#This Row],[Date]],Quarters[],3,TRUE)</f>
        <v>Q2 2020</v>
      </c>
    </row>
    <row r="755" spans="1:9" x14ac:dyDescent="0.2">
      <c r="A755" s="2" t="s">
        <v>32</v>
      </c>
      <c r="B755" s="10">
        <v>43982</v>
      </c>
      <c r="C755" s="5">
        <v>1327</v>
      </c>
      <c r="D755" s="1">
        <f>LEN(VolumebyClient[[#This Row],[CLID]])</f>
        <v>7</v>
      </c>
      <c r="F755" s="1" t="str">
        <f>INDEX(GeobyClient[GEOID],MATCH(VolumebyClient[[#This Row],[CLID]],GeobyClient[Right],0))</f>
        <v>GEO1003</v>
      </c>
      <c r="G755" s="1" t="str">
        <f>VLOOKUP(VolumebyClient[[#This Row],[Index Match Region ID]],GEONames[[GEOID]:[GEO NAME]],2,FALSE)</f>
        <v>EMEA</v>
      </c>
      <c r="H755" s="1" t="str">
        <f>"Q"&amp;ROUNDUP(MONTH(VolumebyClient[[#This Row],[Date]])/3,0)&amp;" "&amp;YEAR(VolumebyClient[[#This Row],[Date]])</f>
        <v>Q2 2020</v>
      </c>
      <c r="I755" s="1" t="str">
        <f>VLOOKUP(VolumebyClient[[#This Row],[Date]],Quarters[],3,TRUE)</f>
        <v>Q2 2020</v>
      </c>
    </row>
    <row r="756" spans="1:9" x14ac:dyDescent="0.2">
      <c r="A756" s="2" t="s">
        <v>32</v>
      </c>
      <c r="B756" s="10">
        <v>44012</v>
      </c>
      <c r="C756" s="5">
        <v>964</v>
      </c>
      <c r="D756" s="1">
        <f>LEN(VolumebyClient[[#This Row],[CLID]])</f>
        <v>7</v>
      </c>
      <c r="F756" s="1" t="str">
        <f>INDEX(GeobyClient[GEOID],MATCH(VolumebyClient[[#This Row],[CLID]],GeobyClient[Right],0))</f>
        <v>GEO1003</v>
      </c>
      <c r="G756" s="1" t="str">
        <f>VLOOKUP(VolumebyClient[[#This Row],[Index Match Region ID]],GEONames[[GEOID]:[GEO NAME]],2,FALSE)</f>
        <v>EMEA</v>
      </c>
      <c r="H756" s="1" t="str">
        <f>"Q"&amp;ROUNDUP(MONTH(VolumebyClient[[#This Row],[Date]])/3,0)&amp;" "&amp;YEAR(VolumebyClient[[#This Row],[Date]])</f>
        <v>Q2 2020</v>
      </c>
      <c r="I756" s="1" t="str">
        <f>VLOOKUP(VolumebyClient[[#This Row],[Date]],Quarters[],3,TRUE)</f>
        <v>Q2 2020</v>
      </c>
    </row>
    <row r="757" spans="1:9" x14ac:dyDescent="0.2">
      <c r="A757" s="2" t="s">
        <v>32</v>
      </c>
      <c r="B757" s="10">
        <v>44043</v>
      </c>
      <c r="C757" s="5">
        <v>844</v>
      </c>
      <c r="D757" s="1">
        <f>LEN(VolumebyClient[[#This Row],[CLID]])</f>
        <v>7</v>
      </c>
      <c r="F757" s="1" t="str">
        <f>INDEX(GeobyClient[GEOID],MATCH(VolumebyClient[[#This Row],[CLID]],GeobyClient[Right],0))</f>
        <v>GEO1003</v>
      </c>
      <c r="G757" s="1" t="str">
        <f>VLOOKUP(VolumebyClient[[#This Row],[Index Match Region ID]],GEONames[[GEOID]:[GEO NAME]],2,FALSE)</f>
        <v>EMEA</v>
      </c>
      <c r="H757" s="1" t="str">
        <f>"Q"&amp;ROUNDUP(MONTH(VolumebyClient[[#This Row],[Date]])/3,0)&amp;" "&amp;YEAR(VolumebyClient[[#This Row],[Date]])</f>
        <v>Q3 2020</v>
      </c>
      <c r="I757" s="1" t="str">
        <f>VLOOKUP(VolumebyClient[[#This Row],[Date]],Quarters[],3,TRUE)</f>
        <v>Q3 2020</v>
      </c>
    </row>
    <row r="758" spans="1:9" x14ac:dyDescent="0.2">
      <c r="A758" s="2" t="s">
        <v>32</v>
      </c>
      <c r="B758" s="10">
        <v>44074</v>
      </c>
      <c r="C758" s="5">
        <v>728</v>
      </c>
      <c r="D758" s="1">
        <f>LEN(VolumebyClient[[#This Row],[CLID]])</f>
        <v>7</v>
      </c>
      <c r="F758" s="1" t="str">
        <f>INDEX(GeobyClient[GEOID],MATCH(VolumebyClient[[#This Row],[CLID]],GeobyClient[Right],0))</f>
        <v>GEO1003</v>
      </c>
      <c r="G758" s="1" t="str">
        <f>VLOOKUP(VolumebyClient[[#This Row],[Index Match Region ID]],GEONames[[GEOID]:[GEO NAME]],2,FALSE)</f>
        <v>EMEA</v>
      </c>
      <c r="H758" s="1" t="str">
        <f>"Q"&amp;ROUNDUP(MONTH(VolumebyClient[[#This Row],[Date]])/3,0)&amp;" "&amp;YEAR(VolumebyClient[[#This Row],[Date]])</f>
        <v>Q3 2020</v>
      </c>
      <c r="I758" s="1" t="str">
        <f>VLOOKUP(VolumebyClient[[#This Row],[Date]],Quarters[],3,TRUE)</f>
        <v>Q3 2020</v>
      </c>
    </row>
    <row r="759" spans="1:9" x14ac:dyDescent="0.2">
      <c r="A759" s="2" t="s">
        <v>32</v>
      </c>
      <c r="B759" s="10">
        <v>44104</v>
      </c>
      <c r="C759" s="5">
        <v>729</v>
      </c>
      <c r="D759" s="1">
        <f>LEN(VolumebyClient[[#This Row],[CLID]])</f>
        <v>7</v>
      </c>
      <c r="F759" s="1" t="str">
        <f>INDEX(GeobyClient[GEOID],MATCH(VolumebyClient[[#This Row],[CLID]],GeobyClient[Right],0))</f>
        <v>GEO1003</v>
      </c>
      <c r="G759" s="1" t="str">
        <f>VLOOKUP(VolumebyClient[[#This Row],[Index Match Region ID]],GEONames[[GEOID]:[GEO NAME]],2,FALSE)</f>
        <v>EMEA</v>
      </c>
      <c r="H759" s="1" t="str">
        <f>"Q"&amp;ROUNDUP(MONTH(VolumebyClient[[#This Row],[Date]])/3,0)&amp;" "&amp;YEAR(VolumebyClient[[#This Row],[Date]])</f>
        <v>Q3 2020</v>
      </c>
      <c r="I759" s="1" t="str">
        <f>VLOOKUP(VolumebyClient[[#This Row],[Date]],Quarters[],3,TRUE)</f>
        <v>Q3 2020</v>
      </c>
    </row>
    <row r="760" spans="1:9" x14ac:dyDescent="0.2">
      <c r="A760" s="2" t="s">
        <v>32</v>
      </c>
      <c r="B760" s="10">
        <v>44135</v>
      </c>
      <c r="C760" s="5">
        <v>849</v>
      </c>
      <c r="D760" s="1">
        <f>LEN(VolumebyClient[[#This Row],[CLID]])</f>
        <v>7</v>
      </c>
      <c r="F760" s="1" t="str">
        <f>INDEX(GeobyClient[GEOID],MATCH(VolumebyClient[[#This Row],[CLID]],GeobyClient[Right],0))</f>
        <v>GEO1003</v>
      </c>
      <c r="G760" s="1" t="str">
        <f>VLOOKUP(VolumebyClient[[#This Row],[Index Match Region ID]],GEONames[[GEOID]:[GEO NAME]],2,FALSE)</f>
        <v>EMEA</v>
      </c>
      <c r="H760" s="1" t="str">
        <f>"Q"&amp;ROUNDUP(MONTH(VolumebyClient[[#This Row],[Date]])/3,0)&amp;" "&amp;YEAR(VolumebyClient[[#This Row],[Date]])</f>
        <v>Q4 2020</v>
      </c>
      <c r="I760" s="1" t="str">
        <f>VLOOKUP(VolumebyClient[[#This Row],[Date]],Quarters[],3,TRUE)</f>
        <v>Q4 2020</v>
      </c>
    </row>
    <row r="761" spans="1:9" x14ac:dyDescent="0.2">
      <c r="A761" s="2" t="s">
        <v>32</v>
      </c>
      <c r="B761" s="10">
        <v>44165</v>
      </c>
      <c r="C761" s="5">
        <v>970</v>
      </c>
      <c r="D761" s="1">
        <f>LEN(VolumebyClient[[#This Row],[CLID]])</f>
        <v>7</v>
      </c>
      <c r="F761" s="1" t="str">
        <f>INDEX(GeobyClient[GEOID],MATCH(VolumebyClient[[#This Row],[CLID]],GeobyClient[Right],0))</f>
        <v>GEO1003</v>
      </c>
      <c r="G761" s="1" t="str">
        <f>VLOOKUP(VolumebyClient[[#This Row],[Index Match Region ID]],GEONames[[GEOID]:[GEO NAME]],2,FALSE)</f>
        <v>EMEA</v>
      </c>
      <c r="H761" s="1" t="str">
        <f>"Q"&amp;ROUNDUP(MONTH(VolumebyClient[[#This Row],[Date]])/3,0)&amp;" "&amp;YEAR(VolumebyClient[[#This Row],[Date]])</f>
        <v>Q4 2020</v>
      </c>
      <c r="I761" s="1" t="str">
        <f>VLOOKUP(VolumebyClient[[#This Row],[Date]],Quarters[],3,TRUE)</f>
        <v>Q4 2020</v>
      </c>
    </row>
    <row r="762" spans="1:9" x14ac:dyDescent="0.2">
      <c r="A762" s="2" t="s">
        <v>32</v>
      </c>
      <c r="B762" s="10">
        <v>44196</v>
      </c>
      <c r="C762" s="5">
        <v>965</v>
      </c>
      <c r="D762" s="1">
        <f>LEN(VolumebyClient[[#This Row],[CLID]])</f>
        <v>7</v>
      </c>
      <c r="F762" s="1" t="str">
        <f>INDEX(GeobyClient[GEOID],MATCH(VolumebyClient[[#This Row],[CLID]],GeobyClient[Right],0))</f>
        <v>GEO1003</v>
      </c>
      <c r="G762" s="1" t="str">
        <f>VLOOKUP(VolumebyClient[[#This Row],[Index Match Region ID]],GEONames[[GEOID]:[GEO NAME]],2,FALSE)</f>
        <v>EMEA</v>
      </c>
      <c r="H762" s="1" t="str">
        <f>"Q"&amp;ROUNDUP(MONTH(VolumebyClient[[#This Row],[Date]])/3,0)&amp;" "&amp;YEAR(VolumebyClient[[#This Row],[Date]])</f>
        <v>Q4 2020</v>
      </c>
      <c r="I762" s="1" t="str">
        <f>VLOOKUP(VolumebyClient[[#This Row],[Date]],Quarters[],3,TRUE)</f>
        <v>Q4 2020</v>
      </c>
    </row>
    <row r="763" spans="1:9" x14ac:dyDescent="0.2">
      <c r="A763" s="2" t="s">
        <v>32</v>
      </c>
      <c r="B763" s="10">
        <v>44377</v>
      </c>
      <c r="C763" s="5">
        <v>985</v>
      </c>
      <c r="D763" s="1">
        <f>LEN(VolumebyClient[[#This Row],[CLID]])</f>
        <v>7</v>
      </c>
      <c r="F763" s="1" t="str">
        <f>INDEX(GeobyClient[GEOID],MATCH(VolumebyClient[[#This Row],[CLID]],GeobyClient[Right],0))</f>
        <v>GEO1003</v>
      </c>
      <c r="G763" s="1" t="str">
        <f>VLOOKUP(VolumebyClient[[#This Row],[Index Match Region ID]],GEONames[[GEOID]:[GEO NAME]],2,FALSE)</f>
        <v>EMEA</v>
      </c>
      <c r="H763" s="1" t="str">
        <f>"Q"&amp;ROUNDUP(MONTH(VolumebyClient[[#This Row],[Date]])/3,0)&amp;" "&amp;YEAR(VolumebyClient[[#This Row],[Date]])</f>
        <v>Q2 2021</v>
      </c>
      <c r="I763" s="1" t="str">
        <f>VLOOKUP(VolumebyClient[[#This Row],[Date]],Quarters[],3,TRUE)</f>
        <v>Q2 2021</v>
      </c>
    </row>
    <row r="764" spans="1:9" x14ac:dyDescent="0.2">
      <c r="A764" s="2" t="s">
        <v>32</v>
      </c>
      <c r="B764" s="10">
        <v>44347</v>
      </c>
      <c r="C764" s="5">
        <v>1318</v>
      </c>
      <c r="D764" s="1">
        <f>LEN(VolumebyClient[[#This Row],[CLID]])</f>
        <v>7</v>
      </c>
      <c r="F764" s="1" t="str">
        <f>INDEX(GeobyClient[GEOID],MATCH(VolumebyClient[[#This Row],[CLID]],GeobyClient[Right],0))</f>
        <v>GEO1003</v>
      </c>
      <c r="G764" s="1" t="str">
        <f>VLOOKUP(VolumebyClient[[#This Row],[Index Match Region ID]],GEONames[[GEOID]:[GEO NAME]],2,FALSE)</f>
        <v>EMEA</v>
      </c>
      <c r="H764" s="1" t="str">
        <f>"Q"&amp;ROUNDUP(MONTH(VolumebyClient[[#This Row],[Date]])/3,0)&amp;" "&amp;YEAR(VolumebyClient[[#This Row],[Date]])</f>
        <v>Q2 2021</v>
      </c>
      <c r="I764" s="1" t="str">
        <f>VLOOKUP(VolumebyClient[[#This Row],[Date]],Quarters[],3,TRUE)</f>
        <v>Q2 2021</v>
      </c>
    </row>
    <row r="765" spans="1:9" x14ac:dyDescent="0.2">
      <c r="A765" s="2" t="s">
        <v>32</v>
      </c>
      <c r="B765" s="10">
        <v>44316</v>
      </c>
      <c r="C765" s="5">
        <v>1435</v>
      </c>
      <c r="D765" s="1">
        <f>LEN(VolumebyClient[[#This Row],[CLID]])</f>
        <v>7</v>
      </c>
      <c r="F765" s="1" t="str">
        <f>INDEX(GeobyClient[GEOID],MATCH(VolumebyClient[[#This Row],[CLID]],GeobyClient[Right],0))</f>
        <v>GEO1003</v>
      </c>
      <c r="G765" s="1" t="str">
        <f>VLOOKUP(VolumebyClient[[#This Row],[Index Match Region ID]],GEONames[[GEOID]:[GEO NAME]],2,FALSE)</f>
        <v>EMEA</v>
      </c>
      <c r="H765" s="1" t="str">
        <f>"Q"&amp;ROUNDUP(MONTH(VolumebyClient[[#This Row],[Date]])/3,0)&amp;" "&amp;YEAR(VolumebyClient[[#This Row],[Date]])</f>
        <v>Q2 2021</v>
      </c>
      <c r="I765" s="1" t="str">
        <f>VLOOKUP(VolumebyClient[[#This Row],[Date]],Quarters[],3,TRUE)</f>
        <v>Q2 2021</v>
      </c>
    </row>
    <row r="766" spans="1:9" x14ac:dyDescent="0.2">
      <c r="A766" s="2" t="s">
        <v>32</v>
      </c>
      <c r="B766" s="10">
        <v>44286</v>
      </c>
      <c r="C766" s="5">
        <v>1221</v>
      </c>
      <c r="D766" s="1">
        <f>LEN(VolumebyClient[[#This Row],[CLID]])</f>
        <v>7</v>
      </c>
      <c r="F766" s="1" t="str">
        <f>INDEX(GeobyClient[GEOID],MATCH(VolumebyClient[[#This Row],[CLID]],GeobyClient[Right],0))</f>
        <v>GEO1003</v>
      </c>
      <c r="G766" s="1" t="str">
        <f>VLOOKUP(VolumebyClient[[#This Row],[Index Match Region ID]],GEONames[[GEOID]:[GEO NAME]],2,FALSE)</f>
        <v>EMEA</v>
      </c>
      <c r="H766" s="1" t="str">
        <f>"Q"&amp;ROUNDUP(MONTH(VolumebyClient[[#This Row],[Date]])/3,0)&amp;" "&amp;YEAR(VolumebyClient[[#This Row],[Date]])</f>
        <v>Q1 2021</v>
      </c>
      <c r="I766" s="1" t="str">
        <f>VLOOKUP(VolumebyClient[[#This Row],[Date]],Quarters[],3,TRUE)</f>
        <v>Q1 2021</v>
      </c>
    </row>
    <row r="767" spans="1:9" x14ac:dyDescent="0.2">
      <c r="A767" s="2" t="s">
        <v>32</v>
      </c>
      <c r="B767" s="10">
        <v>44255</v>
      </c>
      <c r="C767" s="5">
        <v>1076</v>
      </c>
      <c r="D767" s="1">
        <f>LEN(VolumebyClient[[#This Row],[CLID]])</f>
        <v>7</v>
      </c>
      <c r="F767" s="1" t="str">
        <f>INDEX(GeobyClient[GEOID],MATCH(VolumebyClient[[#This Row],[CLID]],GeobyClient[Right],0))</f>
        <v>GEO1003</v>
      </c>
      <c r="G767" s="1" t="str">
        <f>VLOOKUP(VolumebyClient[[#This Row],[Index Match Region ID]],GEONames[[GEOID]:[GEO NAME]],2,FALSE)</f>
        <v>EMEA</v>
      </c>
      <c r="H767" s="1" t="str">
        <f>"Q"&amp;ROUNDUP(MONTH(VolumebyClient[[#This Row],[Date]])/3,0)&amp;" "&amp;YEAR(VolumebyClient[[#This Row],[Date]])</f>
        <v>Q1 2021</v>
      </c>
      <c r="I767" s="1" t="str">
        <f>VLOOKUP(VolumebyClient[[#This Row],[Date]],Quarters[],3,TRUE)</f>
        <v>Q1 2021</v>
      </c>
    </row>
    <row r="768" spans="1:9" x14ac:dyDescent="0.2">
      <c r="A768" s="2" t="s">
        <v>32</v>
      </c>
      <c r="B768" s="10">
        <v>44227</v>
      </c>
      <c r="C768" s="5">
        <v>998</v>
      </c>
      <c r="D768" s="1">
        <f>LEN(VolumebyClient[[#This Row],[CLID]])</f>
        <v>7</v>
      </c>
      <c r="F768" s="1" t="str">
        <f>INDEX(GeobyClient[GEOID],MATCH(VolumebyClient[[#This Row],[CLID]],GeobyClient[Right],0))</f>
        <v>GEO1003</v>
      </c>
      <c r="G768" s="1" t="str">
        <f>VLOOKUP(VolumebyClient[[#This Row],[Index Match Region ID]],GEONames[[GEOID]:[GEO NAME]],2,FALSE)</f>
        <v>EMEA</v>
      </c>
      <c r="H768" s="1" t="str">
        <f>"Q"&amp;ROUNDUP(MONTH(VolumebyClient[[#This Row],[Date]])/3,0)&amp;" "&amp;YEAR(VolumebyClient[[#This Row],[Date]])</f>
        <v>Q1 2021</v>
      </c>
      <c r="I768" s="1" t="str">
        <f>VLOOKUP(VolumebyClient[[#This Row],[Date]],Quarters[],3,TRUE)</f>
        <v>Q1 2021</v>
      </c>
    </row>
    <row r="769" spans="1:9" x14ac:dyDescent="0.2">
      <c r="A769" s="2" t="s">
        <v>4</v>
      </c>
      <c r="B769" s="10">
        <v>43861</v>
      </c>
      <c r="C769" s="5">
        <v>82</v>
      </c>
      <c r="D769" s="1">
        <f>LEN(VolumebyClient[[#This Row],[CLID]])</f>
        <v>7</v>
      </c>
      <c r="F769" s="1" t="str">
        <f>INDEX(GeobyClient[GEOID],MATCH(VolumebyClient[[#This Row],[CLID]],GeobyClient[Right],0))</f>
        <v>GEO1003</v>
      </c>
      <c r="G769" s="1" t="str">
        <f>VLOOKUP(VolumebyClient[[#This Row],[Index Match Region ID]],GEONames[[GEOID]:[GEO NAME]],2,FALSE)</f>
        <v>EMEA</v>
      </c>
      <c r="H769" s="1" t="str">
        <f>"Q"&amp;ROUNDUP(MONTH(VolumebyClient[[#This Row],[Date]])/3,0)&amp;" "&amp;YEAR(VolumebyClient[[#This Row],[Date]])</f>
        <v>Q1 2020</v>
      </c>
      <c r="I769" s="1" t="str">
        <f>VLOOKUP(VolumebyClient[[#This Row],[Date]],Quarters[],3,TRUE)</f>
        <v>Q1 2020</v>
      </c>
    </row>
    <row r="770" spans="1:9" x14ac:dyDescent="0.2">
      <c r="A770" s="2" t="s">
        <v>4</v>
      </c>
      <c r="B770" s="10">
        <v>43890</v>
      </c>
      <c r="C770" s="5">
        <v>101</v>
      </c>
      <c r="D770" s="1">
        <f>LEN(VolumebyClient[[#This Row],[CLID]])</f>
        <v>7</v>
      </c>
      <c r="F770" s="1" t="str">
        <f>INDEX(GeobyClient[GEOID],MATCH(VolumebyClient[[#This Row],[CLID]],GeobyClient[Right],0))</f>
        <v>GEO1003</v>
      </c>
      <c r="G770" s="1" t="str">
        <f>VLOOKUP(VolumebyClient[[#This Row],[Index Match Region ID]],GEONames[[GEOID]:[GEO NAME]],2,FALSE)</f>
        <v>EMEA</v>
      </c>
      <c r="H770" s="1" t="str">
        <f>"Q"&amp;ROUNDUP(MONTH(VolumebyClient[[#This Row],[Date]])/3,0)&amp;" "&amp;YEAR(VolumebyClient[[#This Row],[Date]])</f>
        <v>Q1 2020</v>
      </c>
      <c r="I770" s="1" t="str">
        <f>VLOOKUP(VolumebyClient[[#This Row],[Date]],Quarters[],3,TRUE)</f>
        <v>Q1 2020</v>
      </c>
    </row>
    <row r="771" spans="1:9" x14ac:dyDescent="0.2">
      <c r="A771" s="2" t="s">
        <v>4</v>
      </c>
      <c r="B771" s="10">
        <v>43921</v>
      </c>
      <c r="C771" s="5">
        <v>102</v>
      </c>
      <c r="D771" s="1">
        <f>LEN(VolumebyClient[[#This Row],[CLID]])</f>
        <v>7</v>
      </c>
      <c r="F771" s="1" t="str">
        <f>INDEX(GeobyClient[GEOID],MATCH(VolumebyClient[[#This Row],[CLID]],GeobyClient[Right],0))</f>
        <v>GEO1003</v>
      </c>
      <c r="G771" s="1" t="str">
        <f>VLOOKUP(VolumebyClient[[#This Row],[Index Match Region ID]],GEONames[[GEOID]:[GEO NAME]],2,FALSE)</f>
        <v>EMEA</v>
      </c>
      <c r="H771" s="1" t="str">
        <f>"Q"&amp;ROUNDUP(MONTH(VolumebyClient[[#This Row],[Date]])/3,0)&amp;" "&amp;YEAR(VolumebyClient[[#This Row],[Date]])</f>
        <v>Q1 2020</v>
      </c>
      <c r="I771" s="1" t="str">
        <f>VLOOKUP(VolumebyClient[[#This Row],[Date]],Quarters[],3,TRUE)</f>
        <v>Q1 2020</v>
      </c>
    </row>
    <row r="772" spans="1:9" x14ac:dyDescent="0.2">
      <c r="A772" s="2" t="s">
        <v>4</v>
      </c>
      <c r="B772" s="10">
        <v>43951</v>
      </c>
      <c r="C772" s="5">
        <v>126</v>
      </c>
      <c r="D772" s="1">
        <f>LEN(VolumebyClient[[#This Row],[CLID]])</f>
        <v>7</v>
      </c>
      <c r="F772" s="1" t="str">
        <f>INDEX(GeobyClient[GEOID],MATCH(VolumebyClient[[#This Row],[CLID]],GeobyClient[Right],0))</f>
        <v>GEO1003</v>
      </c>
      <c r="G772" s="1" t="str">
        <f>VLOOKUP(VolumebyClient[[#This Row],[Index Match Region ID]],GEONames[[GEOID]:[GEO NAME]],2,FALSE)</f>
        <v>EMEA</v>
      </c>
      <c r="H772" s="1" t="str">
        <f>"Q"&amp;ROUNDUP(MONTH(VolumebyClient[[#This Row],[Date]])/3,0)&amp;" "&amp;YEAR(VolumebyClient[[#This Row],[Date]])</f>
        <v>Q2 2020</v>
      </c>
      <c r="I772" s="1" t="str">
        <f>VLOOKUP(VolumebyClient[[#This Row],[Date]],Quarters[],3,TRUE)</f>
        <v>Q2 2020</v>
      </c>
    </row>
    <row r="773" spans="1:9" x14ac:dyDescent="0.2">
      <c r="A773" s="2" t="s">
        <v>4</v>
      </c>
      <c r="B773" s="10">
        <v>43982</v>
      </c>
      <c r="C773" s="5">
        <v>108</v>
      </c>
      <c r="D773" s="1">
        <f>LEN(VolumebyClient[[#This Row],[CLID]])</f>
        <v>7</v>
      </c>
      <c r="F773" s="1" t="str">
        <f>INDEX(GeobyClient[GEOID],MATCH(VolumebyClient[[#This Row],[CLID]],GeobyClient[Right],0))</f>
        <v>GEO1003</v>
      </c>
      <c r="G773" s="1" t="str">
        <f>VLOOKUP(VolumebyClient[[#This Row],[Index Match Region ID]],GEONames[[GEOID]:[GEO NAME]],2,FALSE)</f>
        <v>EMEA</v>
      </c>
      <c r="H773" s="1" t="str">
        <f>"Q"&amp;ROUNDUP(MONTH(VolumebyClient[[#This Row],[Date]])/3,0)&amp;" "&amp;YEAR(VolumebyClient[[#This Row],[Date]])</f>
        <v>Q2 2020</v>
      </c>
      <c r="I773" s="1" t="str">
        <f>VLOOKUP(VolumebyClient[[#This Row],[Date]],Quarters[],3,TRUE)</f>
        <v>Q2 2020</v>
      </c>
    </row>
    <row r="774" spans="1:9" x14ac:dyDescent="0.2">
      <c r="A774" s="2" t="s">
        <v>4</v>
      </c>
      <c r="B774" s="10">
        <v>44012</v>
      </c>
      <c r="C774" s="5">
        <v>88</v>
      </c>
      <c r="D774" s="1">
        <f>LEN(VolumebyClient[[#This Row],[CLID]])</f>
        <v>7</v>
      </c>
      <c r="F774" s="1" t="str">
        <f>INDEX(GeobyClient[GEOID],MATCH(VolumebyClient[[#This Row],[CLID]],GeobyClient[Right],0))</f>
        <v>GEO1003</v>
      </c>
      <c r="G774" s="1" t="str">
        <f>VLOOKUP(VolumebyClient[[#This Row],[Index Match Region ID]],GEONames[[GEOID]:[GEO NAME]],2,FALSE)</f>
        <v>EMEA</v>
      </c>
      <c r="H774" s="1" t="str">
        <f>"Q"&amp;ROUNDUP(MONTH(VolumebyClient[[#This Row],[Date]])/3,0)&amp;" "&amp;YEAR(VolumebyClient[[#This Row],[Date]])</f>
        <v>Q2 2020</v>
      </c>
      <c r="I774" s="1" t="str">
        <f>VLOOKUP(VolumebyClient[[#This Row],[Date]],Quarters[],3,TRUE)</f>
        <v>Q2 2020</v>
      </c>
    </row>
    <row r="775" spans="1:9" x14ac:dyDescent="0.2">
      <c r="A775" s="2" t="s">
        <v>4</v>
      </c>
      <c r="B775" s="10">
        <v>44043</v>
      </c>
      <c r="C775" s="5">
        <v>68</v>
      </c>
      <c r="D775" s="1">
        <f>LEN(VolumebyClient[[#This Row],[CLID]])</f>
        <v>7</v>
      </c>
      <c r="F775" s="1" t="str">
        <f>INDEX(GeobyClient[GEOID],MATCH(VolumebyClient[[#This Row],[CLID]],GeobyClient[Right],0))</f>
        <v>GEO1003</v>
      </c>
      <c r="G775" s="1" t="str">
        <f>VLOOKUP(VolumebyClient[[#This Row],[Index Match Region ID]],GEONames[[GEOID]:[GEO NAME]],2,FALSE)</f>
        <v>EMEA</v>
      </c>
      <c r="H775" s="1" t="str">
        <f>"Q"&amp;ROUNDUP(MONTH(VolumebyClient[[#This Row],[Date]])/3,0)&amp;" "&amp;YEAR(VolumebyClient[[#This Row],[Date]])</f>
        <v>Q3 2020</v>
      </c>
      <c r="I775" s="1" t="str">
        <f>VLOOKUP(VolumebyClient[[#This Row],[Date]],Quarters[],3,TRUE)</f>
        <v>Q3 2020</v>
      </c>
    </row>
    <row r="776" spans="1:9" x14ac:dyDescent="0.2">
      <c r="A776" s="2" t="s">
        <v>4</v>
      </c>
      <c r="B776" s="10">
        <v>44074</v>
      </c>
      <c r="C776" s="5">
        <v>70</v>
      </c>
      <c r="D776" s="1">
        <f>LEN(VolumebyClient[[#This Row],[CLID]])</f>
        <v>7</v>
      </c>
      <c r="F776" s="1" t="str">
        <f>INDEX(GeobyClient[GEOID],MATCH(VolumebyClient[[#This Row],[CLID]],GeobyClient[Right],0))</f>
        <v>GEO1003</v>
      </c>
      <c r="G776" s="1" t="str">
        <f>VLOOKUP(VolumebyClient[[#This Row],[Index Match Region ID]],GEONames[[GEOID]:[GEO NAME]],2,FALSE)</f>
        <v>EMEA</v>
      </c>
      <c r="H776" s="1" t="str">
        <f>"Q"&amp;ROUNDUP(MONTH(VolumebyClient[[#This Row],[Date]])/3,0)&amp;" "&amp;YEAR(VolumebyClient[[#This Row],[Date]])</f>
        <v>Q3 2020</v>
      </c>
      <c r="I776" s="1" t="str">
        <f>VLOOKUP(VolumebyClient[[#This Row],[Date]],Quarters[],3,TRUE)</f>
        <v>Q3 2020</v>
      </c>
    </row>
    <row r="777" spans="1:9" x14ac:dyDescent="0.2">
      <c r="A777" s="2" t="s">
        <v>4</v>
      </c>
      <c r="B777" s="10">
        <v>44104</v>
      </c>
      <c r="C777" s="5">
        <v>58</v>
      </c>
      <c r="D777" s="1">
        <f>LEN(VolumebyClient[[#This Row],[CLID]])</f>
        <v>7</v>
      </c>
      <c r="F777" s="1" t="str">
        <f>INDEX(GeobyClient[GEOID],MATCH(VolumebyClient[[#This Row],[CLID]],GeobyClient[Right],0))</f>
        <v>GEO1003</v>
      </c>
      <c r="G777" s="1" t="str">
        <f>VLOOKUP(VolumebyClient[[#This Row],[Index Match Region ID]],GEONames[[GEOID]:[GEO NAME]],2,FALSE)</f>
        <v>EMEA</v>
      </c>
      <c r="H777" s="1" t="str">
        <f>"Q"&amp;ROUNDUP(MONTH(VolumebyClient[[#This Row],[Date]])/3,0)&amp;" "&amp;YEAR(VolumebyClient[[#This Row],[Date]])</f>
        <v>Q3 2020</v>
      </c>
      <c r="I777" s="1" t="str">
        <f>VLOOKUP(VolumebyClient[[#This Row],[Date]],Quarters[],3,TRUE)</f>
        <v>Q3 2020</v>
      </c>
    </row>
    <row r="778" spans="1:9" x14ac:dyDescent="0.2">
      <c r="A778" s="2" t="s">
        <v>4</v>
      </c>
      <c r="B778" s="10">
        <v>44135</v>
      </c>
      <c r="C778" s="5">
        <v>76</v>
      </c>
      <c r="D778" s="1">
        <f>LEN(VolumebyClient[[#This Row],[CLID]])</f>
        <v>7</v>
      </c>
      <c r="F778" s="1" t="str">
        <f>INDEX(GeobyClient[GEOID],MATCH(VolumebyClient[[#This Row],[CLID]],GeobyClient[Right],0))</f>
        <v>GEO1003</v>
      </c>
      <c r="G778" s="1" t="str">
        <f>VLOOKUP(VolumebyClient[[#This Row],[Index Match Region ID]],GEONames[[GEOID]:[GEO NAME]],2,FALSE)</f>
        <v>EMEA</v>
      </c>
      <c r="H778" s="1" t="str">
        <f>"Q"&amp;ROUNDUP(MONTH(VolumebyClient[[#This Row],[Date]])/3,0)&amp;" "&amp;YEAR(VolumebyClient[[#This Row],[Date]])</f>
        <v>Q4 2020</v>
      </c>
      <c r="I778" s="1" t="str">
        <f>VLOOKUP(VolumebyClient[[#This Row],[Date]],Quarters[],3,TRUE)</f>
        <v>Q4 2020</v>
      </c>
    </row>
    <row r="779" spans="1:9" x14ac:dyDescent="0.2">
      <c r="A779" s="2" t="s">
        <v>4</v>
      </c>
      <c r="B779" s="10">
        <v>44165</v>
      </c>
      <c r="C779" s="5">
        <v>81</v>
      </c>
      <c r="D779" s="1">
        <f>LEN(VolumebyClient[[#This Row],[CLID]])</f>
        <v>7</v>
      </c>
      <c r="F779" s="1" t="str">
        <f>INDEX(GeobyClient[GEOID],MATCH(VolumebyClient[[#This Row],[CLID]],GeobyClient[Right],0))</f>
        <v>GEO1003</v>
      </c>
      <c r="G779" s="1" t="str">
        <f>VLOOKUP(VolumebyClient[[#This Row],[Index Match Region ID]],GEONames[[GEOID]:[GEO NAME]],2,FALSE)</f>
        <v>EMEA</v>
      </c>
      <c r="H779" s="1" t="str">
        <f>"Q"&amp;ROUNDUP(MONTH(VolumebyClient[[#This Row],[Date]])/3,0)&amp;" "&amp;YEAR(VolumebyClient[[#This Row],[Date]])</f>
        <v>Q4 2020</v>
      </c>
      <c r="I779" s="1" t="str">
        <f>VLOOKUP(VolumebyClient[[#This Row],[Date]],Quarters[],3,TRUE)</f>
        <v>Q4 2020</v>
      </c>
    </row>
    <row r="780" spans="1:9" x14ac:dyDescent="0.2">
      <c r="A780" s="2" t="s">
        <v>4</v>
      </c>
      <c r="B780" s="10">
        <v>44196</v>
      </c>
      <c r="C780" s="5">
        <v>88</v>
      </c>
      <c r="D780" s="1">
        <f>LEN(VolumebyClient[[#This Row],[CLID]])</f>
        <v>7</v>
      </c>
      <c r="F780" s="1" t="str">
        <f>INDEX(GeobyClient[GEOID],MATCH(VolumebyClient[[#This Row],[CLID]],GeobyClient[Right],0))</f>
        <v>GEO1003</v>
      </c>
      <c r="G780" s="1" t="str">
        <f>VLOOKUP(VolumebyClient[[#This Row],[Index Match Region ID]],GEONames[[GEOID]:[GEO NAME]],2,FALSE)</f>
        <v>EMEA</v>
      </c>
      <c r="H780" s="1" t="str">
        <f>"Q"&amp;ROUNDUP(MONTH(VolumebyClient[[#This Row],[Date]])/3,0)&amp;" "&amp;YEAR(VolumebyClient[[#This Row],[Date]])</f>
        <v>Q4 2020</v>
      </c>
      <c r="I780" s="1" t="str">
        <f>VLOOKUP(VolumebyClient[[#This Row],[Date]],Quarters[],3,TRUE)</f>
        <v>Q4 2020</v>
      </c>
    </row>
    <row r="781" spans="1:9" x14ac:dyDescent="0.2">
      <c r="A781" s="2" t="s">
        <v>4</v>
      </c>
      <c r="B781" s="10">
        <v>44377</v>
      </c>
      <c r="C781" s="5">
        <v>91</v>
      </c>
      <c r="D781" s="1">
        <f>LEN(VolumebyClient[[#This Row],[CLID]])</f>
        <v>7</v>
      </c>
      <c r="F781" s="1" t="str">
        <f>INDEX(GeobyClient[GEOID],MATCH(VolumebyClient[[#This Row],[CLID]],GeobyClient[Right],0))</f>
        <v>GEO1003</v>
      </c>
      <c r="G781" s="1" t="str">
        <f>VLOOKUP(VolumebyClient[[#This Row],[Index Match Region ID]],GEONames[[GEOID]:[GEO NAME]],2,FALSE)</f>
        <v>EMEA</v>
      </c>
      <c r="H781" s="1" t="str">
        <f>"Q"&amp;ROUNDUP(MONTH(VolumebyClient[[#This Row],[Date]])/3,0)&amp;" "&amp;YEAR(VolumebyClient[[#This Row],[Date]])</f>
        <v>Q2 2021</v>
      </c>
      <c r="I781" s="1" t="str">
        <f>VLOOKUP(VolumebyClient[[#This Row],[Date]],Quarters[],3,TRUE)</f>
        <v>Q2 2021</v>
      </c>
    </row>
    <row r="782" spans="1:9" x14ac:dyDescent="0.2">
      <c r="A782" s="2" t="s">
        <v>4</v>
      </c>
      <c r="B782" s="10">
        <v>44347</v>
      </c>
      <c r="C782" s="5">
        <v>109</v>
      </c>
      <c r="D782" s="1">
        <f>LEN(VolumebyClient[[#This Row],[CLID]])</f>
        <v>7</v>
      </c>
      <c r="F782" s="1" t="str">
        <f>INDEX(GeobyClient[GEOID],MATCH(VolumebyClient[[#This Row],[CLID]],GeobyClient[Right],0))</f>
        <v>GEO1003</v>
      </c>
      <c r="G782" s="1" t="str">
        <f>VLOOKUP(VolumebyClient[[#This Row],[Index Match Region ID]],GEONames[[GEOID]:[GEO NAME]],2,FALSE)</f>
        <v>EMEA</v>
      </c>
      <c r="H782" s="1" t="str">
        <f>"Q"&amp;ROUNDUP(MONTH(VolumebyClient[[#This Row],[Date]])/3,0)&amp;" "&amp;YEAR(VolumebyClient[[#This Row],[Date]])</f>
        <v>Q2 2021</v>
      </c>
      <c r="I782" s="1" t="str">
        <f>VLOOKUP(VolumebyClient[[#This Row],[Date]],Quarters[],3,TRUE)</f>
        <v>Q2 2021</v>
      </c>
    </row>
    <row r="783" spans="1:9" x14ac:dyDescent="0.2">
      <c r="A783" s="2" t="s">
        <v>4</v>
      </c>
      <c r="B783" s="10">
        <v>44316</v>
      </c>
      <c r="C783" s="5">
        <v>130</v>
      </c>
      <c r="D783" s="1">
        <f>LEN(VolumebyClient[[#This Row],[CLID]])</f>
        <v>7</v>
      </c>
      <c r="F783" s="1" t="str">
        <f>INDEX(GeobyClient[GEOID],MATCH(VolumebyClient[[#This Row],[CLID]],GeobyClient[Right],0))</f>
        <v>GEO1003</v>
      </c>
      <c r="G783" s="1" t="str">
        <f>VLOOKUP(VolumebyClient[[#This Row],[Index Match Region ID]],GEONames[[GEOID]:[GEO NAME]],2,FALSE)</f>
        <v>EMEA</v>
      </c>
      <c r="H783" s="1" t="str">
        <f>"Q"&amp;ROUNDUP(MONTH(VolumebyClient[[#This Row],[Date]])/3,0)&amp;" "&amp;YEAR(VolumebyClient[[#This Row],[Date]])</f>
        <v>Q2 2021</v>
      </c>
      <c r="I783" s="1" t="str">
        <f>VLOOKUP(VolumebyClient[[#This Row],[Date]],Quarters[],3,TRUE)</f>
        <v>Q2 2021</v>
      </c>
    </row>
    <row r="784" spans="1:9" x14ac:dyDescent="0.2">
      <c r="A784" s="2" t="s">
        <v>4</v>
      </c>
      <c r="B784" s="10">
        <v>44286</v>
      </c>
      <c r="C784" s="5">
        <v>105</v>
      </c>
      <c r="D784" s="1">
        <f>LEN(VolumebyClient[[#This Row],[CLID]])</f>
        <v>7</v>
      </c>
      <c r="F784" s="1" t="str">
        <f>INDEX(GeobyClient[GEOID],MATCH(VolumebyClient[[#This Row],[CLID]],GeobyClient[Right],0))</f>
        <v>GEO1003</v>
      </c>
      <c r="G784" s="1" t="str">
        <f>VLOOKUP(VolumebyClient[[#This Row],[Index Match Region ID]],GEONames[[GEOID]:[GEO NAME]],2,FALSE)</f>
        <v>EMEA</v>
      </c>
      <c r="H784" s="1" t="str">
        <f>"Q"&amp;ROUNDUP(MONTH(VolumebyClient[[#This Row],[Date]])/3,0)&amp;" "&amp;YEAR(VolumebyClient[[#This Row],[Date]])</f>
        <v>Q1 2021</v>
      </c>
      <c r="I784" s="1" t="str">
        <f>VLOOKUP(VolumebyClient[[#This Row],[Date]],Quarters[],3,TRUE)</f>
        <v>Q1 2021</v>
      </c>
    </row>
    <row r="785" spans="1:9" x14ac:dyDescent="0.2">
      <c r="A785" s="2" t="s">
        <v>4</v>
      </c>
      <c r="B785" s="10">
        <v>44255</v>
      </c>
      <c r="C785" s="5">
        <v>98</v>
      </c>
      <c r="D785" s="1">
        <f>LEN(VolumebyClient[[#This Row],[CLID]])</f>
        <v>7</v>
      </c>
      <c r="F785" s="1" t="str">
        <f>INDEX(GeobyClient[GEOID],MATCH(VolumebyClient[[#This Row],[CLID]],GeobyClient[Right],0))</f>
        <v>GEO1003</v>
      </c>
      <c r="G785" s="1" t="str">
        <f>VLOOKUP(VolumebyClient[[#This Row],[Index Match Region ID]],GEONames[[GEOID]:[GEO NAME]],2,FALSE)</f>
        <v>EMEA</v>
      </c>
      <c r="H785" s="1" t="str">
        <f>"Q"&amp;ROUNDUP(MONTH(VolumebyClient[[#This Row],[Date]])/3,0)&amp;" "&amp;YEAR(VolumebyClient[[#This Row],[Date]])</f>
        <v>Q1 2021</v>
      </c>
      <c r="I785" s="1" t="str">
        <f>VLOOKUP(VolumebyClient[[#This Row],[Date]],Quarters[],3,TRUE)</f>
        <v>Q1 2021</v>
      </c>
    </row>
    <row r="786" spans="1:9" x14ac:dyDescent="0.2">
      <c r="A786" s="2" t="s">
        <v>4</v>
      </c>
      <c r="B786" s="10">
        <v>44227</v>
      </c>
      <c r="C786" s="5">
        <v>77</v>
      </c>
      <c r="D786" s="1">
        <f>LEN(VolumebyClient[[#This Row],[CLID]])</f>
        <v>7</v>
      </c>
      <c r="F786" s="1" t="str">
        <f>INDEX(GeobyClient[GEOID],MATCH(VolumebyClient[[#This Row],[CLID]],GeobyClient[Right],0))</f>
        <v>GEO1003</v>
      </c>
      <c r="G786" s="1" t="str">
        <f>VLOOKUP(VolumebyClient[[#This Row],[Index Match Region ID]],GEONames[[GEOID]:[GEO NAME]],2,FALSE)</f>
        <v>EMEA</v>
      </c>
      <c r="H786" s="1" t="str">
        <f>"Q"&amp;ROUNDUP(MONTH(VolumebyClient[[#This Row],[Date]])/3,0)&amp;" "&amp;YEAR(VolumebyClient[[#This Row],[Date]])</f>
        <v>Q1 2021</v>
      </c>
      <c r="I786" s="1" t="str">
        <f>VLOOKUP(VolumebyClient[[#This Row],[Date]],Quarters[],3,TRUE)</f>
        <v>Q1 2021</v>
      </c>
    </row>
    <row r="787" spans="1:9" x14ac:dyDescent="0.2">
      <c r="A787" s="2" t="s">
        <v>19</v>
      </c>
      <c r="B787" s="10">
        <v>43861</v>
      </c>
      <c r="C787" s="5">
        <v>568</v>
      </c>
      <c r="D787" s="1">
        <f>LEN(VolumebyClient[[#This Row],[CLID]])</f>
        <v>7</v>
      </c>
      <c r="F787" s="1" t="str">
        <f>INDEX(GeobyClient[GEOID],MATCH(VolumebyClient[[#This Row],[CLID]],GeobyClient[Right],0))</f>
        <v>GEO1001</v>
      </c>
      <c r="G787" s="1" t="str">
        <f>VLOOKUP(VolumebyClient[[#This Row],[Index Match Region ID]],GEONames[[GEOID]:[GEO NAME]],2,FALSE)</f>
        <v>NAM</v>
      </c>
      <c r="H787" s="1" t="str">
        <f>"Q"&amp;ROUNDUP(MONTH(VolumebyClient[[#This Row],[Date]])/3,0)&amp;" "&amp;YEAR(VolumebyClient[[#This Row],[Date]])</f>
        <v>Q1 2020</v>
      </c>
      <c r="I787" s="1" t="str">
        <f>VLOOKUP(VolumebyClient[[#This Row],[Date]],Quarters[],3,TRUE)</f>
        <v>Q1 2020</v>
      </c>
    </row>
    <row r="788" spans="1:9" x14ac:dyDescent="0.2">
      <c r="A788" s="2" t="s">
        <v>19</v>
      </c>
      <c r="B788" s="10">
        <v>43890</v>
      </c>
      <c r="C788" s="5">
        <v>636</v>
      </c>
      <c r="D788" s="1">
        <f>LEN(VolumebyClient[[#This Row],[CLID]])</f>
        <v>7</v>
      </c>
      <c r="F788" s="1" t="str">
        <f>INDEX(GeobyClient[GEOID],MATCH(VolumebyClient[[#This Row],[CLID]],GeobyClient[Right],0))</f>
        <v>GEO1001</v>
      </c>
      <c r="G788" s="1" t="str">
        <f>VLOOKUP(VolumebyClient[[#This Row],[Index Match Region ID]],GEONames[[GEOID]:[GEO NAME]],2,FALSE)</f>
        <v>NAM</v>
      </c>
      <c r="H788" s="1" t="str">
        <f>"Q"&amp;ROUNDUP(MONTH(VolumebyClient[[#This Row],[Date]])/3,0)&amp;" "&amp;YEAR(VolumebyClient[[#This Row],[Date]])</f>
        <v>Q1 2020</v>
      </c>
      <c r="I788" s="1" t="str">
        <f>VLOOKUP(VolumebyClient[[#This Row],[Date]],Quarters[],3,TRUE)</f>
        <v>Q1 2020</v>
      </c>
    </row>
    <row r="789" spans="1:9" x14ac:dyDescent="0.2">
      <c r="A789" s="2" t="s">
        <v>19</v>
      </c>
      <c r="B789" s="10">
        <v>43921</v>
      </c>
      <c r="C789" s="5">
        <v>707</v>
      </c>
      <c r="D789" s="1">
        <f>LEN(VolumebyClient[[#This Row],[CLID]])</f>
        <v>7</v>
      </c>
      <c r="F789" s="1" t="str">
        <f>INDEX(GeobyClient[GEOID],MATCH(VolumebyClient[[#This Row],[CLID]],GeobyClient[Right],0))</f>
        <v>GEO1001</v>
      </c>
      <c r="G789" s="1" t="str">
        <f>VLOOKUP(VolumebyClient[[#This Row],[Index Match Region ID]],GEONames[[GEOID]:[GEO NAME]],2,FALSE)</f>
        <v>NAM</v>
      </c>
      <c r="H789" s="1" t="str">
        <f>"Q"&amp;ROUNDUP(MONTH(VolumebyClient[[#This Row],[Date]])/3,0)&amp;" "&amp;YEAR(VolumebyClient[[#This Row],[Date]])</f>
        <v>Q1 2020</v>
      </c>
      <c r="I789" s="1" t="str">
        <f>VLOOKUP(VolumebyClient[[#This Row],[Date]],Quarters[],3,TRUE)</f>
        <v>Q1 2020</v>
      </c>
    </row>
    <row r="790" spans="1:9" x14ac:dyDescent="0.2">
      <c r="A790" s="2" t="s">
        <v>19</v>
      </c>
      <c r="B790" s="10">
        <v>43951</v>
      </c>
      <c r="C790" s="5">
        <v>849</v>
      </c>
      <c r="D790" s="1">
        <f>LEN(VolumebyClient[[#This Row],[CLID]])</f>
        <v>7</v>
      </c>
      <c r="F790" s="1" t="str">
        <f>INDEX(GeobyClient[GEOID],MATCH(VolumebyClient[[#This Row],[CLID]],GeobyClient[Right],0))</f>
        <v>GEO1001</v>
      </c>
      <c r="G790" s="1" t="str">
        <f>VLOOKUP(VolumebyClient[[#This Row],[Index Match Region ID]],GEONames[[GEOID]:[GEO NAME]],2,FALSE)</f>
        <v>NAM</v>
      </c>
      <c r="H790" s="1" t="str">
        <f>"Q"&amp;ROUNDUP(MONTH(VolumebyClient[[#This Row],[Date]])/3,0)&amp;" "&amp;YEAR(VolumebyClient[[#This Row],[Date]])</f>
        <v>Q2 2020</v>
      </c>
      <c r="I790" s="1" t="str">
        <f>VLOOKUP(VolumebyClient[[#This Row],[Date]],Quarters[],3,TRUE)</f>
        <v>Q2 2020</v>
      </c>
    </row>
    <row r="791" spans="1:9" x14ac:dyDescent="0.2">
      <c r="A791" s="2" t="s">
        <v>19</v>
      </c>
      <c r="B791" s="10">
        <v>43982</v>
      </c>
      <c r="C791" s="5">
        <v>779</v>
      </c>
      <c r="D791" s="1">
        <f>LEN(VolumebyClient[[#This Row],[CLID]])</f>
        <v>7</v>
      </c>
      <c r="F791" s="1" t="str">
        <f>INDEX(GeobyClient[GEOID],MATCH(VolumebyClient[[#This Row],[CLID]],GeobyClient[Right],0))</f>
        <v>GEO1001</v>
      </c>
      <c r="G791" s="1" t="str">
        <f>VLOOKUP(VolumebyClient[[#This Row],[Index Match Region ID]],GEONames[[GEOID]:[GEO NAME]],2,FALSE)</f>
        <v>NAM</v>
      </c>
      <c r="H791" s="1" t="str">
        <f>"Q"&amp;ROUNDUP(MONTH(VolumebyClient[[#This Row],[Date]])/3,0)&amp;" "&amp;YEAR(VolumebyClient[[#This Row],[Date]])</f>
        <v>Q2 2020</v>
      </c>
      <c r="I791" s="1" t="str">
        <f>VLOOKUP(VolumebyClient[[#This Row],[Date]],Quarters[],3,TRUE)</f>
        <v>Q2 2020</v>
      </c>
    </row>
    <row r="792" spans="1:9" x14ac:dyDescent="0.2">
      <c r="A792" s="2" t="s">
        <v>19</v>
      </c>
      <c r="B792" s="10">
        <v>44012</v>
      </c>
      <c r="C792" s="5">
        <v>566</v>
      </c>
      <c r="D792" s="1">
        <f>LEN(VolumebyClient[[#This Row],[CLID]])</f>
        <v>7</v>
      </c>
      <c r="F792" s="1" t="str">
        <f>INDEX(GeobyClient[GEOID],MATCH(VolumebyClient[[#This Row],[CLID]],GeobyClient[Right],0))</f>
        <v>GEO1001</v>
      </c>
      <c r="G792" s="1" t="str">
        <f>VLOOKUP(VolumebyClient[[#This Row],[Index Match Region ID]],GEONames[[GEOID]:[GEO NAME]],2,FALSE)</f>
        <v>NAM</v>
      </c>
      <c r="H792" s="1" t="str">
        <f>"Q"&amp;ROUNDUP(MONTH(VolumebyClient[[#This Row],[Date]])/3,0)&amp;" "&amp;YEAR(VolumebyClient[[#This Row],[Date]])</f>
        <v>Q2 2020</v>
      </c>
      <c r="I792" s="1" t="str">
        <f>VLOOKUP(VolumebyClient[[#This Row],[Date]],Quarters[],3,TRUE)</f>
        <v>Q2 2020</v>
      </c>
    </row>
    <row r="793" spans="1:9" x14ac:dyDescent="0.2">
      <c r="A793" s="2" t="s">
        <v>19</v>
      </c>
      <c r="B793" s="10">
        <v>44043</v>
      </c>
      <c r="C793" s="5">
        <v>498</v>
      </c>
      <c r="D793" s="1">
        <f>LEN(VolumebyClient[[#This Row],[CLID]])</f>
        <v>7</v>
      </c>
      <c r="F793" s="1" t="str">
        <f>INDEX(GeobyClient[GEOID],MATCH(VolumebyClient[[#This Row],[CLID]],GeobyClient[Right],0))</f>
        <v>GEO1001</v>
      </c>
      <c r="G793" s="1" t="str">
        <f>VLOOKUP(VolumebyClient[[#This Row],[Index Match Region ID]],GEONames[[GEOID]:[GEO NAME]],2,FALSE)</f>
        <v>NAM</v>
      </c>
      <c r="H793" s="1" t="str">
        <f>"Q"&amp;ROUNDUP(MONTH(VolumebyClient[[#This Row],[Date]])/3,0)&amp;" "&amp;YEAR(VolumebyClient[[#This Row],[Date]])</f>
        <v>Q3 2020</v>
      </c>
      <c r="I793" s="1" t="str">
        <f>VLOOKUP(VolumebyClient[[#This Row],[Date]],Quarters[],3,TRUE)</f>
        <v>Q3 2020</v>
      </c>
    </row>
    <row r="794" spans="1:9" x14ac:dyDescent="0.2">
      <c r="A794" s="2" t="s">
        <v>19</v>
      </c>
      <c r="B794" s="10">
        <v>44074</v>
      </c>
      <c r="C794" s="5">
        <v>426</v>
      </c>
      <c r="D794" s="1">
        <f>LEN(VolumebyClient[[#This Row],[CLID]])</f>
        <v>7</v>
      </c>
      <c r="F794" s="1" t="str">
        <f>INDEX(GeobyClient[GEOID],MATCH(VolumebyClient[[#This Row],[CLID]],GeobyClient[Right],0))</f>
        <v>GEO1001</v>
      </c>
      <c r="G794" s="1" t="str">
        <f>VLOOKUP(VolumebyClient[[#This Row],[Index Match Region ID]],GEONames[[GEOID]:[GEO NAME]],2,FALSE)</f>
        <v>NAM</v>
      </c>
      <c r="H794" s="1" t="str">
        <f>"Q"&amp;ROUNDUP(MONTH(VolumebyClient[[#This Row],[Date]])/3,0)&amp;" "&amp;YEAR(VolumebyClient[[#This Row],[Date]])</f>
        <v>Q3 2020</v>
      </c>
      <c r="I794" s="1" t="str">
        <f>VLOOKUP(VolumebyClient[[#This Row],[Date]],Quarters[],3,TRUE)</f>
        <v>Q3 2020</v>
      </c>
    </row>
    <row r="795" spans="1:9" x14ac:dyDescent="0.2">
      <c r="A795" s="2" t="s">
        <v>19</v>
      </c>
      <c r="B795" s="10">
        <v>44104</v>
      </c>
      <c r="C795" s="5">
        <v>423</v>
      </c>
      <c r="D795" s="1">
        <f>LEN(VolumebyClient[[#This Row],[CLID]])</f>
        <v>7</v>
      </c>
      <c r="F795" s="1" t="str">
        <f>INDEX(GeobyClient[GEOID],MATCH(VolumebyClient[[#This Row],[CLID]],GeobyClient[Right],0))</f>
        <v>GEO1001</v>
      </c>
      <c r="G795" s="1" t="str">
        <f>VLOOKUP(VolumebyClient[[#This Row],[Index Match Region ID]],GEONames[[GEOID]:[GEO NAME]],2,FALSE)</f>
        <v>NAM</v>
      </c>
      <c r="H795" s="1" t="str">
        <f>"Q"&amp;ROUNDUP(MONTH(VolumebyClient[[#This Row],[Date]])/3,0)&amp;" "&amp;YEAR(VolumebyClient[[#This Row],[Date]])</f>
        <v>Q3 2020</v>
      </c>
      <c r="I795" s="1" t="str">
        <f>VLOOKUP(VolumebyClient[[#This Row],[Date]],Quarters[],3,TRUE)</f>
        <v>Q3 2020</v>
      </c>
    </row>
    <row r="796" spans="1:9" x14ac:dyDescent="0.2">
      <c r="A796" s="2" t="s">
        <v>19</v>
      </c>
      <c r="B796" s="10">
        <v>44135</v>
      </c>
      <c r="C796" s="5">
        <v>495</v>
      </c>
      <c r="D796" s="1">
        <f>LEN(VolumebyClient[[#This Row],[CLID]])</f>
        <v>7</v>
      </c>
      <c r="F796" s="1" t="str">
        <f>INDEX(GeobyClient[GEOID],MATCH(VolumebyClient[[#This Row],[CLID]],GeobyClient[Right],0))</f>
        <v>GEO1001</v>
      </c>
      <c r="G796" s="1" t="str">
        <f>VLOOKUP(VolumebyClient[[#This Row],[Index Match Region ID]],GEONames[[GEOID]:[GEO NAME]],2,FALSE)</f>
        <v>NAM</v>
      </c>
      <c r="H796" s="1" t="str">
        <f>"Q"&amp;ROUNDUP(MONTH(VolumebyClient[[#This Row],[Date]])/3,0)&amp;" "&amp;YEAR(VolumebyClient[[#This Row],[Date]])</f>
        <v>Q4 2020</v>
      </c>
      <c r="I796" s="1" t="str">
        <f>VLOOKUP(VolumebyClient[[#This Row],[Date]],Quarters[],3,TRUE)</f>
        <v>Q4 2020</v>
      </c>
    </row>
    <row r="797" spans="1:9" x14ac:dyDescent="0.2">
      <c r="A797" s="2" t="s">
        <v>19</v>
      </c>
      <c r="B797" s="10">
        <v>44165</v>
      </c>
      <c r="C797" s="5">
        <v>569</v>
      </c>
      <c r="D797" s="1">
        <f>LEN(VolumebyClient[[#This Row],[CLID]])</f>
        <v>7</v>
      </c>
      <c r="F797" s="1" t="str">
        <f>INDEX(GeobyClient[GEOID],MATCH(VolumebyClient[[#This Row],[CLID]],GeobyClient[Right],0))</f>
        <v>GEO1001</v>
      </c>
      <c r="G797" s="1" t="str">
        <f>VLOOKUP(VolumebyClient[[#This Row],[Index Match Region ID]],GEONames[[GEOID]:[GEO NAME]],2,FALSE)</f>
        <v>NAM</v>
      </c>
      <c r="H797" s="1" t="str">
        <f>"Q"&amp;ROUNDUP(MONTH(VolumebyClient[[#This Row],[Date]])/3,0)&amp;" "&amp;YEAR(VolumebyClient[[#This Row],[Date]])</f>
        <v>Q4 2020</v>
      </c>
      <c r="I797" s="1" t="str">
        <f>VLOOKUP(VolumebyClient[[#This Row],[Date]],Quarters[],3,TRUE)</f>
        <v>Q4 2020</v>
      </c>
    </row>
    <row r="798" spans="1:9" x14ac:dyDescent="0.2">
      <c r="A798" s="2" t="s">
        <v>19</v>
      </c>
      <c r="B798" s="10">
        <v>44196</v>
      </c>
      <c r="C798" s="5">
        <v>567</v>
      </c>
      <c r="D798" s="1">
        <f>LEN(VolumebyClient[[#This Row],[CLID]])</f>
        <v>7</v>
      </c>
      <c r="F798" s="1" t="str">
        <f>INDEX(GeobyClient[GEOID],MATCH(VolumebyClient[[#This Row],[CLID]],GeobyClient[Right],0))</f>
        <v>GEO1001</v>
      </c>
      <c r="G798" s="1" t="str">
        <f>VLOOKUP(VolumebyClient[[#This Row],[Index Match Region ID]],GEONames[[GEOID]:[GEO NAME]],2,FALSE)</f>
        <v>NAM</v>
      </c>
      <c r="H798" s="1" t="str">
        <f>"Q"&amp;ROUNDUP(MONTH(VolumebyClient[[#This Row],[Date]])/3,0)&amp;" "&amp;YEAR(VolumebyClient[[#This Row],[Date]])</f>
        <v>Q4 2020</v>
      </c>
      <c r="I798" s="1" t="str">
        <f>VLOOKUP(VolumebyClient[[#This Row],[Date]],Quarters[],3,TRUE)</f>
        <v>Q4 2020</v>
      </c>
    </row>
    <row r="799" spans="1:9" x14ac:dyDescent="0.2">
      <c r="A799" s="2" t="s">
        <v>19</v>
      </c>
      <c r="B799" s="10">
        <v>44377</v>
      </c>
      <c r="C799" s="5">
        <v>563</v>
      </c>
      <c r="D799" s="1">
        <f>LEN(VolumebyClient[[#This Row],[CLID]])</f>
        <v>7</v>
      </c>
      <c r="F799" s="1" t="str">
        <f>INDEX(GeobyClient[GEOID],MATCH(VolumebyClient[[#This Row],[CLID]],GeobyClient[Right],0))</f>
        <v>GEO1001</v>
      </c>
      <c r="G799" s="1" t="str">
        <f>VLOOKUP(VolumebyClient[[#This Row],[Index Match Region ID]],GEONames[[GEOID]:[GEO NAME]],2,FALSE)</f>
        <v>NAM</v>
      </c>
      <c r="H799" s="1" t="str">
        <f>"Q"&amp;ROUNDUP(MONTH(VolumebyClient[[#This Row],[Date]])/3,0)&amp;" "&amp;YEAR(VolumebyClient[[#This Row],[Date]])</f>
        <v>Q2 2021</v>
      </c>
      <c r="I799" s="1" t="str">
        <f>VLOOKUP(VolumebyClient[[#This Row],[Date]],Quarters[],3,TRUE)</f>
        <v>Q2 2021</v>
      </c>
    </row>
    <row r="800" spans="1:9" x14ac:dyDescent="0.2">
      <c r="A800" s="2" t="s">
        <v>19</v>
      </c>
      <c r="B800" s="10">
        <v>44347</v>
      </c>
      <c r="C800" s="5">
        <v>789</v>
      </c>
      <c r="D800" s="1">
        <f>LEN(VolumebyClient[[#This Row],[CLID]])</f>
        <v>7</v>
      </c>
      <c r="F800" s="1" t="str">
        <f>INDEX(GeobyClient[GEOID],MATCH(VolumebyClient[[#This Row],[CLID]],GeobyClient[Right],0))</f>
        <v>GEO1001</v>
      </c>
      <c r="G800" s="1" t="str">
        <f>VLOOKUP(VolumebyClient[[#This Row],[Index Match Region ID]],GEONames[[GEOID]:[GEO NAME]],2,FALSE)</f>
        <v>NAM</v>
      </c>
      <c r="H800" s="1" t="str">
        <f>"Q"&amp;ROUNDUP(MONTH(VolumebyClient[[#This Row],[Date]])/3,0)&amp;" "&amp;YEAR(VolumebyClient[[#This Row],[Date]])</f>
        <v>Q2 2021</v>
      </c>
      <c r="I800" s="1" t="str">
        <f>VLOOKUP(VolumebyClient[[#This Row],[Date]],Quarters[],3,TRUE)</f>
        <v>Q2 2021</v>
      </c>
    </row>
    <row r="801" spans="1:9" x14ac:dyDescent="0.2">
      <c r="A801" s="2" t="s">
        <v>19</v>
      </c>
      <c r="B801" s="10">
        <v>44316</v>
      </c>
      <c r="C801" s="5">
        <v>862</v>
      </c>
      <c r="D801" s="1">
        <f>LEN(VolumebyClient[[#This Row],[CLID]])</f>
        <v>7</v>
      </c>
      <c r="F801" s="1" t="str">
        <f>INDEX(GeobyClient[GEOID],MATCH(VolumebyClient[[#This Row],[CLID]],GeobyClient[Right],0))</f>
        <v>GEO1001</v>
      </c>
      <c r="G801" s="1" t="str">
        <f>VLOOKUP(VolumebyClient[[#This Row],[Index Match Region ID]],GEONames[[GEOID]:[GEO NAME]],2,FALSE)</f>
        <v>NAM</v>
      </c>
      <c r="H801" s="1" t="str">
        <f>"Q"&amp;ROUNDUP(MONTH(VolumebyClient[[#This Row],[Date]])/3,0)&amp;" "&amp;YEAR(VolumebyClient[[#This Row],[Date]])</f>
        <v>Q2 2021</v>
      </c>
      <c r="I801" s="1" t="str">
        <f>VLOOKUP(VolumebyClient[[#This Row],[Date]],Quarters[],3,TRUE)</f>
        <v>Q2 2021</v>
      </c>
    </row>
    <row r="802" spans="1:9" x14ac:dyDescent="0.2">
      <c r="A802" s="2" t="s">
        <v>19</v>
      </c>
      <c r="B802" s="10">
        <v>44286</v>
      </c>
      <c r="C802" s="5">
        <v>702</v>
      </c>
      <c r="D802" s="1">
        <f>LEN(VolumebyClient[[#This Row],[CLID]])</f>
        <v>7</v>
      </c>
      <c r="F802" s="1" t="str">
        <f>INDEX(GeobyClient[GEOID],MATCH(VolumebyClient[[#This Row],[CLID]],GeobyClient[Right],0))</f>
        <v>GEO1001</v>
      </c>
      <c r="G802" s="1" t="str">
        <f>VLOOKUP(VolumebyClient[[#This Row],[Index Match Region ID]],GEONames[[GEOID]:[GEO NAME]],2,FALSE)</f>
        <v>NAM</v>
      </c>
      <c r="H802" s="1" t="str">
        <f>"Q"&amp;ROUNDUP(MONTH(VolumebyClient[[#This Row],[Date]])/3,0)&amp;" "&amp;YEAR(VolumebyClient[[#This Row],[Date]])</f>
        <v>Q1 2021</v>
      </c>
      <c r="I802" s="1" t="str">
        <f>VLOOKUP(VolumebyClient[[#This Row],[Date]],Quarters[],3,TRUE)</f>
        <v>Q1 2021</v>
      </c>
    </row>
    <row r="803" spans="1:9" x14ac:dyDescent="0.2">
      <c r="A803" s="2" t="s">
        <v>19</v>
      </c>
      <c r="B803" s="10">
        <v>44255</v>
      </c>
      <c r="C803" s="5">
        <v>652</v>
      </c>
      <c r="D803" s="1">
        <f>LEN(VolumebyClient[[#This Row],[CLID]])</f>
        <v>7</v>
      </c>
      <c r="F803" s="1" t="str">
        <f>INDEX(GeobyClient[GEOID],MATCH(VolumebyClient[[#This Row],[CLID]],GeobyClient[Right],0))</f>
        <v>GEO1001</v>
      </c>
      <c r="G803" s="1" t="str">
        <f>VLOOKUP(VolumebyClient[[#This Row],[Index Match Region ID]],GEONames[[GEOID]:[GEO NAME]],2,FALSE)</f>
        <v>NAM</v>
      </c>
      <c r="H803" s="1" t="str">
        <f>"Q"&amp;ROUNDUP(MONTH(VolumebyClient[[#This Row],[Date]])/3,0)&amp;" "&amp;YEAR(VolumebyClient[[#This Row],[Date]])</f>
        <v>Q1 2021</v>
      </c>
      <c r="I803" s="1" t="str">
        <f>VLOOKUP(VolumebyClient[[#This Row],[Date]],Quarters[],3,TRUE)</f>
        <v>Q1 2021</v>
      </c>
    </row>
    <row r="804" spans="1:9" x14ac:dyDescent="0.2">
      <c r="A804" s="2" t="s">
        <v>19</v>
      </c>
      <c r="B804" s="10">
        <v>44227</v>
      </c>
      <c r="C804" s="5">
        <v>557</v>
      </c>
      <c r="D804" s="1">
        <f>LEN(VolumebyClient[[#This Row],[CLID]])</f>
        <v>7</v>
      </c>
      <c r="F804" s="1" t="str">
        <f>INDEX(GeobyClient[GEOID],MATCH(VolumebyClient[[#This Row],[CLID]],GeobyClient[Right],0))</f>
        <v>GEO1001</v>
      </c>
      <c r="G804" s="1" t="str">
        <f>VLOOKUP(VolumebyClient[[#This Row],[Index Match Region ID]],GEONames[[GEOID]:[GEO NAME]],2,FALSE)</f>
        <v>NAM</v>
      </c>
      <c r="H804" s="1" t="str">
        <f>"Q"&amp;ROUNDUP(MONTH(VolumebyClient[[#This Row],[Date]])/3,0)&amp;" "&amp;YEAR(VolumebyClient[[#This Row],[Date]])</f>
        <v>Q1 2021</v>
      </c>
      <c r="I804" s="1" t="str">
        <f>VLOOKUP(VolumebyClient[[#This Row],[Date]],Quarters[],3,TRUE)</f>
        <v>Q1 2021</v>
      </c>
    </row>
    <row r="805" spans="1:9" x14ac:dyDescent="0.2">
      <c r="A805" s="2" t="s">
        <v>29</v>
      </c>
      <c r="B805" s="10">
        <v>43861</v>
      </c>
      <c r="C805" s="5">
        <v>902</v>
      </c>
      <c r="D805" s="1">
        <f>LEN(VolumebyClient[[#This Row],[CLID]])</f>
        <v>7</v>
      </c>
      <c r="F805" s="1" t="str">
        <f>INDEX(GeobyClient[GEOID],MATCH(VolumebyClient[[#This Row],[CLID]],GeobyClient[Right],0))</f>
        <v>GEO1002</v>
      </c>
      <c r="G805" s="1" t="str">
        <f>VLOOKUP(VolumebyClient[[#This Row],[Index Match Region ID]],GEONames[[GEOID]:[GEO NAME]],2,FALSE)</f>
        <v>APAC</v>
      </c>
      <c r="H805" s="1" t="str">
        <f>"Q"&amp;ROUNDUP(MONTH(VolumebyClient[[#This Row],[Date]])/3,0)&amp;" "&amp;YEAR(VolumebyClient[[#This Row],[Date]])</f>
        <v>Q1 2020</v>
      </c>
      <c r="I805" s="1" t="str">
        <f>VLOOKUP(VolumebyClient[[#This Row],[Date]],Quarters[],3,TRUE)</f>
        <v>Q1 2020</v>
      </c>
    </row>
    <row r="806" spans="1:9" x14ac:dyDescent="0.2">
      <c r="A806" s="2" t="s">
        <v>29</v>
      </c>
      <c r="B806" s="10">
        <v>43890</v>
      </c>
      <c r="C806" s="5">
        <v>897</v>
      </c>
      <c r="D806" s="1">
        <f>LEN(VolumebyClient[[#This Row],[CLID]])</f>
        <v>7</v>
      </c>
      <c r="F806" s="1" t="str">
        <f>INDEX(GeobyClient[GEOID],MATCH(VolumebyClient[[#This Row],[CLID]],GeobyClient[Right],0))</f>
        <v>GEO1002</v>
      </c>
      <c r="G806" s="1" t="str">
        <f>VLOOKUP(VolumebyClient[[#This Row],[Index Match Region ID]],GEONames[[GEOID]:[GEO NAME]],2,FALSE)</f>
        <v>APAC</v>
      </c>
      <c r="H806" s="1" t="str">
        <f>"Q"&amp;ROUNDUP(MONTH(VolumebyClient[[#This Row],[Date]])/3,0)&amp;" "&amp;YEAR(VolumebyClient[[#This Row],[Date]])</f>
        <v>Q1 2020</v>
      </c>
      <c r="I806" s="1" t="str">
        <f>VLOOKUP(VolumebyClient[[#This Row],[Date]],Quarters[],3,TRUE)</f>
        <v>Q1 2020</v>
      </c>
    </row>
    <row r="807" spans="1:9" x14ac:dyDescent="0.2">
      <c r="A807" s="2" t="s">
        <v>29</v>
      </c>
      <c r="B807" s="10">
        <v>43921</v>
      </c>
      <c r="C807" s="5">
        <v>1112</v>
      </c>
      <c r="D807" s="1">
        <f>LEN(VolumebyClient[[#This Row],[CLID]])</f>
        <v>7</v>
      </c>
      <c r="F807" s="1" t="str">
        <f>INDEX(GeobyClient[GEOID],MATCH(VolumebyClient[[#This Row],[CLID]],GeobyClient[Right],0))</f>
        <v>GEO1002</v>
      </c>
      <c r="G807" s="1" t="str">
        <f>VLOOKUP(VolumebyClient[[#This Row],[Index Match Region ID]],GEONames[[GEOID]:[GEO NAME]],2,FALSE)</f>
        <v>APAC</v>
      </c>
      <c r="H807" s="1" t="str">
        <f>"Q"&amp;ROUNDUP(MONTH(VolumebyClient[[#This Row],[Date]])/3,0)&amp;" "&amp;YEAR(VolumebyClient[[#This Row],[Date]])</f>
        <v>Q1 2020</v>
      </c>
      <c r="I807" s="1" t="str">
        <f>VLOOKUP(VolumebyClient[[#This Row],[Date]],Quarters[],3,TRUE)</f>
        <v>Q1 2020</v>
      </c>
    </row>
    <row r="808" spans="1:9" x14ac:dyDescent="0.2">
      <c r="A808" s="2" t="s">
        <v>29</v>
      </c>
      <c r="B808" s="10">
        <v>43951</v>
      </c>
      <c r="C808" s="5">
        <v>1214</v>
      </c>
      <c r="D808" s="1">
        <f>LEN(VolumebyClient[[#This Row],[CLID]])</f>
        <v>7</v>
      </c>
      <c r="F808" s="1" t="str">
        <f>INDEX(GeobyClient[GEOID],MATCH(VolumebyClient[[#This Row],[CLID]],GeobyClient[Right],0))</f>
        <v>GEO1002</v>
      </c>
      <c r="G808" s="1" t="str">
        <f>VLOOKUP(VolumebyClient[[#This Row],[Index Match Region ID]],GEONames[[GEOID]:[GEO NAME]],2,FALSE)</f>
        <v>APAC</v>
      </c>
      <c r="H808" s="1" t="str">
        <f>"Q"&amp;ROUNDUP(MONTH(VolumebyClient[[#This Row],[Date]])/3,0)&amp;" "&amp;YEAR(VolumebyClient[[#This Row],[Date]])</f>
        <v>Q2 2020</v>
      </c>
      <c r="I808" s="1" t="str">
        <f>VLOOKUP(VolumebyClient[[#This Row],[Date]],Quarters[],3,TRUE)</f>
        <v>Q2 2020</v>
      </c>
    </row>
    <row r="809" spans="1:9" x14ac:dyDescent="0.2">
      <c r="A809" s="2" t="s">
        <v>29</v>
      </c>
      <c r="B809" s="10">
        <v>43982</v>
      </c>
      <c r="C809" s="5">
        <v>1219</v>
      </c>
      <c r="D809" s="1">
        <f>LEN(VolumebyClient[[#This Row],[CLID]])</f>
        <v>7</v>
      </c>
      <c r="F809" s="1" t="str">
        <f>INDEX(GeobyClient[GEOID],MATCH(VolumebyClient[[#This Row],[CLID]],GeobyClient[Right],0))</f>
        <v>GEO1002</v>
      </c>
      <c r="G809" s="1" t="str">
        <f>VLOOKUP(VolumebyClient[[#This Row],[Index Match Region ID]],GEONames[[GEOID]:[GEO NAME]],2,FALSE)</f>
        <v>APAC</v>
      </c>
      <c r="H809" s="1" t="str">
        <f>"Q"&amp;ROUNDUP(MONTH(VolumebyClient[[#This Row],[Date]])/3,0)&amp;" "&amp;YEAR(VolumebyClient[[#This Row],[Date]])</f>
        <v>Q2 2020</v>
      </c>
      <c r="I809" s="1" t="str">
        <f>VLOOKUP(VolumebyClient[[#This Row],[Date]],Quarters[],3,TRUE)</f>
        <v>Q2 2020</v>
      </c>
    </row>
    <row r="810" spans="1:9" x14ac:dyDescent="0.2">
      <c r="A810" s="2" t="s">
        <v>29</v>
      </c>
      <c r="B810" s="10">
        <v>44012</v>
      </c>
      <c r="C810" s="5">
        <v>795</v>
      </c>
      <c r="D810" s="1">
        <f>LEN(VolumebyClient[[#This Row],[CLID]])</f>
        <v>7</v>
      </c>
      <c r="F810" s="1" t="str">
        <f>INDEX(GeobyClient[GEOID],MATCH(VolumebyClient[[#This Row],[CLID]],GeobyClient[Right],0))</f>
        <v>GEO1002</v>
      </c>
      <c r="G810" s="1" t="str">
        <f>VLOOKUP(VolumebyClient[[#This Row],[Index Match Region ID]],GEONames[[GEOID]:[GEO NAME]],2,FALSE)</f>
        <v>APAC</v>
      </c>
      <c r="H810" s="1" t="str">
        <f>"Q"&amp;ROUNDUP(MONTH(VolumebyClient[[#This Row],[Date]])/3,0)&amp;" "&amp;YEAR(VolumebyClient[[#This Row],[Date]])</f>
        <v>Q2 2020</v>
      </c>
      <c r="I810" s="1" t="str">
        <f>VLOOKUP(VolumebyClient[[#This Row],[Date]],Quarters[],3,TRUE)</f>
        <v>Q2 2020</v>
      </c>
    </row>
    <row r="811" spans="1:9" x14ac:dyDescent="0.2">
      <c r="A811" s="2" t="s">
        <v>29</v>
      </c>
      <c r="B811" s="10">
        <v>44043</v>
      </c>
      <c r="C811" s="5">
        <v>794</v>
      </c>
      <c r="D811" s="1">
        <f>LEN(VolumebyClient[[#This Row],[CLID]])</f>
        <v>7</v>
      </c>
      <c r="F811" s="1" t="str">
        <f>INDEX(GeobyClient[GEOID],MATCH(VolumebyClient[[#This Row],[CLID]],GeobyClient[Right],0))</f>
        <v>GEO1002</v>
      </c>
      <c r="G811" s="1" t="str">
        <f>VLOOKUP(VolumebyClient[[#This Row],[Index Match Region ID]],GEONames[[GEOID]:[GEO NAME]],2,FALSE)</f>
        <v>APAC</v>
      </c>
      <c r="H811" s="1" t="str">
        <f>"Q"&amp;ROUNDUP(MONTH(VolumebyClient[[#This Row],[Date]])/3,0)&amp;" "&amp;YEAR(VolumebyClient[[#This Row],[Date]])</f>
        <v>Q3 2020</v>
      </c>
      <c r="I811" s="1" t="str">
        <f>VLOOKUP(VolumebyClient[[#This Row],[Date]],Quarters[],3,TRUE)</f>
        <v>Q3 2020</v>
      </c>
    </row>
    <row r="812" spans="1:9" x14ac:dyDescent="0.2">
      <c r="A812" s="2" t="s">
        <v>29</v>
      </c>
      <c r="B812" s="10">
        <v>44074</v>
      </c>
      <c r="C812" s="5">
        <v>581</v>
      </c>
      <c r="D812" s="1">
        <f>LEN(VolumebyClient[[#This Row],[CLID]])</f>
        <v>7</v>
      </c>
      <c r="F812" s="1" t="str">
        <f>INDEX(GeobyClient[GEOID],MATCH(VolumebyClient[[#This Row],[CLID]],GeobyClient[Right],0))</f>
        <v>GEO1002</v>
      </c>
      <c r="G812" s="1" t="str">
        <f>VLOOKUP(VolumebyClient[[#This Row],[Index Match Region ID]],GEONames[[GEOID]:[GEO NAME]],2,FALSE)</f>
        <v>APAC</v>
      </c>
      <c r="H812" s="1" t="str">
        <f>"Q"&amp;ROUNDUP(MONTH(VolumebyClient[[#This Row],[Date]])/3,0)&amp;" "&amp;YEAR(VolumebyClient[[#This Row],[Date]])</f>
        <v>Q3 2020</v>
      </c>
      <c r="I812" s="1" t="str">
        <f>VLOOKUP(VolumebyClient[[#This Row],[Date]],Quarters[],3,TRUE)</f>
        <v>Q3 2020</v>
      </c>
    </row>
    <row r="813" spans="1:9" x14ac:dyDescent="0.2">
      <c r="A813" s="2" t="s">
        <v>29</v>
      </c>
      <c r="B813" s="10">
        <v>44104</v>
      </c>
      <c r="C813" s="5">
        <v>690</v>
      </c>
      <c r="D813" s="1">
        <f>LEN(VolumebyClient[[#This Row],[CLID]])</f>
        <v>7</v>
      </c>
      <c r="F813" s="1" t="str">
        <f>INDEX(GeobyClient[GEOID],MATCH(VolumebyClient[[#This Row],[CLID]],GeobyClient[Right],0))</f>
        <v>GEO1002</v>
      </c>
      <c r="G813" s="1" t="str">
        <f>VLOOKUP(VolumebyClient[[#This Row],[Index Match Region ID]],GEONames[[GEOID]:[GEO NAME]],2,FALSE)</f>
        <v>APAC</v>
      </c>
      <c r="H813" s="1" t="str">
        <f>"Q"&amp;ROUNDUP(MONTH(VolumebyClient[[#This Row],[Date]])/3,0)&amp;" "&amp;YEAR(VolumebyClient[[#This Row],[Date]])</f>
        <v>Q3 2020</v>
      </c>
      <c r="I813" s="1" t="str">
        <f>VLOOKUP(VolumebyClient[[#This Row],[Date]],Quarters[],3,TRUE)</f>
        <v>Q3 2020</v>
      </c>
    </row>
    <row r="814" spans="1:9" x14ac:dyDescent="0.2">
      <c r="A814" s="2" t="s">
        <v>29</v>
      </c>
      <c r="B814" s="10">
        <v>44135</v>
      </c>
      <c r="C814" s="5">
        <v>690</v>
      </c>
      <c r="D814" s="1">
        <f>LEN(VolumebyClient[[#This Row],[CLID]])</f>
        <v>7</v>
      </c>
      <c r="F814" s="1" t="str">
        <f>INDEX(GeobyClient[GEOID],MATCH(VolumebyClient[[#This Row],[CLID]],GeobyClient[Right],0))</f>
        <v>GEO1002</v>
      </c>
      <c r="G814" s="1" t="str">
        <f>VLOOKUP(VolumebyClient[[#This Row],[Index Match Region ID]],GEONames[[GEOID]:[GEO NAME]],2,FALSE)</f>
        <v>APAC</v>
      </c>
      <c r="H814" s="1" t="str">
        <f>"Q"&amp;ROUNDUP(MONTH(VolumebyClient[[#This Row],[Date]])/3,0)&amp;" "&amp;YEAR(VolumebyClient[[#This Row],[Date]])</f>
        <v>Q4 2020</v>
      </c>
      <c r="I814" s="1" t="str">
        <f>VLOOKUP(VolumebyClient[[#This Row],[Date]],Quarters[],3,TRUE)</f>
        <v>Q4 2020</v>
      </c>
    </row>
    <row r="815" spans="1:9" x14ac:dyDescent="0.2">
      <c r="A815" s="2" t="s">
        <v>29</v>
      </c>
      <c r="B815" s="10">
        <v>44165</v>
      </c>
      <c r="C815" s="5">
        <v>899</v>
      </c>
      <c r="D815" s="1">
        <f>LEN(VolumebyClient[[#This Row],[CLID]])</f>
        <v>7</v>
      </c>
      <c r="F815" s="1" t="str">
        <f>INDEX(GeobyClient[GEOID],MATCH(VolumebyClient[[#This Row],[CLID]],GeobyClient[Right],0))</f>
        <v>GEO1002</v>
      </c>
      <c r="G815" s="1" t="str">
        <f>VLOOKUP(VolumebyClient[[#This Row],[Index Match Region ID]],GEONames[[GEOID]:[GEO NAME]],2,FALSE)</f>
        <v>APAC</v>
      </c>
      <c r="H815" s="1" t="str">
        <f>"Q"&amp;ROUNDUP(MONTH(VolumebyClient[[#This Row],[Date]])/3,0)&amp;" "&amp;YEAR(VolumebyClient[[#This Row],[Date]])</f>
        <v>Q4 2020</v>
      </c>
      <c r="I815" s="1" t="str">
        <f>VLOOKUP(VolumebyClient[[#This Row],[Date]],Quarters[],3,TRUE)</f>
        <v>Q4 2020</v>
      </c>
    </row>
    <row r="816" spans="1:9" x14ac:dyDescent="0.2">
      <c r="A816" s="2" t="s">
        <v>29</v>
      </c>
      <c r="B816" s="10">
        <v>44196</v>
      </c>
      <c r="C816" s="5">
        <v>793</v>
      </c>
      <c r="D816" s="1">
        <f>LEN(VolumebyClient[[#This Row],[CLID]])</f>
        <v>7</v>
      </c>
      <c r="F816" s="1" t="str">
        <f>INDEX(GeobyClient[GEOID],MATCH(VolumebyClient[[#This Row],[CLID]],GeobyClient[Right],0))</f>
        <v>GEO1002</v>
      </c>
      <c r="G816" s="1" t="str">
        <f>VLOOKUP(VolumebyClient[[#This Row],[Index Match Region ID]],GEONames[[GEOID]:[GEO NAME]],2,FALSE)</f>
        <v>APAC</v>
      </c>
      <c r="H816" s="1" t="str">
        <f>"Q"&amp;ROUNDUP(MONTH(VolumebyClient[[#This Row],[Date]])/3,0)&amp;" "&amp;YEAR(VolumebyClient[[#This Row],[Date]])</f>
        <v>Q4 2020</v>
      </c>
      <c r="I816" s="1" t="str">
        <f>VLOOKUP(VolumebyClient[[#This Row],[Date]],Quarters[],3,TRUE)</f>
        <v>Q4 2020</v>
      </c>
    </row>
    <row r="817" spans="1:9" x14ac:dyDescent="0.2">
      <c r="A817" s="2" t="s">
        <v>29</v>
      </c>
      <c r="B817" s="10">
        <v>44377</v>
      </c>
      <c r="C817" s="5">
        <v>820</v>
      </c>
      <c r="D817" s="1">
        <f>LEN(VolumebyClient[[#This Row],[CLID]])</f>
        <v>7</v>
      </c>
      <c r="F817" s="1" t="str">
        <f>INDEX(GeobyClient[GEOID],MATCH(VolumebyClient[[#This Row],[CLID]],GeobyClient[Right],0))</f>
        <v>GEO1002</v>
      </c>
      <c r="G817" s="1" t="str">
        <f>VLOOKUP(VolumebyClient[[#This Row],[Index Match Region ID]],GEONames[[GEOID]:[GEO NAME]],2,FALSE)</f>
        <v>APAC</v>
      </c>
      <c r="H817" s="1" t="str">
        <f>"Q"&amp;ROUNDUP(MONTH(VolumebyClient[[#This Row],[Date]])/3,0)&amp;" "&amp;YEAR(VolumebyClient[[#This Row],[Date]])</f>
        <v>Q2 2021</v>
      </c>
      <c r="I817" s="1" t="str">
        <f>VLOOKUP(VolumebyClient[[#This Row],[Date]],Quarters[],3,TRUE)</f>
        <v>Q2 2021</v>
      </c>
    </row>
    <row r="818" spans="1:9" x14ac:dyDescent="0.2">
      <c r="A818" s="2" t="s">
        <v>29</v>
      </c>
      <c r="B818" s="10">
        <v>44347</v>
      </c>
      <c r="C818" s="5">
        <v>1231</v>
      </c>
      <c r="D818" s="1">
        <f>LEN(VolumebyClient[[#This Row],[CLID]])</f>
        <v>7</v>
      </c>
      <c r="F818" s="1" t="str">
        <f>INDEX(GeobyClient[GEOID],MATCH(VolumebyClient[[#This Row],[CLID]],GeobyClient[Right],0))</f>
        <v>GEO1002</v>
      </c>
      <c r="G818" s="1" t="str">
        <f>VLOOKUP(VolumebyClient[[#This Row],[Index Match Region ID]],GEONames[[GEOID]:[GEO NAME]],2,FALSE)</f>
        <v>APAC</v>
      </c>
      <c r="H818" s="1" t="str">
        <f>"Q"&amp;ROUNDUP(MONTH(VolumebyClient[[#This Row],[Date]])/3,0)&amp;" "&amp;YEAR(VolumebyClient[[#This Row],[Date]])</f>
        <v>Q2 2021</v>
      </c>
      <c r="I818" s="1" t="str">
        <f>VLOOKUP(VolumebyClient[[#This Row],[Date]],Quarters[],3,TRUE)</f>
        <v>Q2 2021</v>
      </c>
    </row>
    <row r="819" spans="1:9" x14ac:dyDescent="0.2">
      <c r="A819" s="2" t="s">
        <v>29</v>
      </c>
      <c r="B819" s="10">
        <v>44316</v>
      </c>
      <c r="C819" s="5">
        <v>1204</v>
      </c>
      <c r="D819" s="1">
        <f>LEN(VolumebyClient[[#This Row],[CLID]])</f>
        <v>7</v>
      </c>
      <c r="F819" s="1" t="str">
        <f>INDEX(GeobyClient[GEOID],MATCH(VolumebyClient[[#This Row],[CLID]],GeobyClient[Right],0))</f>
        <v>GEO1002</v>
      </c>
      <c r="G819" s="1" t="str">
        <f>VLOOKUP(VolumebyClient[[#This Row],[Index Match Region ID]],GEONames[[GEOID]:[GEO NAME]],2,FALSE)</f>
        <v>APAC</v>
      </c>
      <c r="H819" s="1" t="str">
        <f>"Q"&amp;ROUNDUP(MONTH(VolumebyClient[[#This Row],[Date]])/3,0)&amp;" "&amp;YEAR(VolumebyClient[[#This Row],[Date]])</f>
        <v>Q2 2021</v>
      </c>
      <c r="I819" s="1" t="str">
        <f>VLOOKUP(VolumebyClient[[#This Row],[Date]],Quarters[],3,TRUE)</f>
        <v>Q2 2021</v>
      </c>
    </row>
    <row r="820" spans="1:9" x14ac:dyDescent="0.2">
      <c r="A820" s="2" t="s">
        <v>29</v>
      </c>
      <c r="B820" s="10">
        <v>44286</v>
      </c>
      <c r="C820" s="5">
        <v>1120</v>
      </c>
      <c r="D820" s="1">
        <f>LEN(VolumebyClient[[#This Row],[CLID]])</f>
        <v>7</v>
      </c>
      <c r="F820" s="1" t="str">
        <f>INDEX(GeobyClient[GEOID],MATCH(VolumebyClient[[#This Row],[CLID]],GeobyClient[Right],0))</f>
        <v>GEO1002</v>
      </c>
      <c r="G820" s="1" t="str">
        <f>VLOOKUP(VolumebyClient[[#This Row],[Index Match Region ID]],GEONames[[GEOID]:[GEO NAME]],2,FALSE)</f>
        <v>APAC</v>
      </c>
      <c r="H820" s="1" t="str">
        <f>"Q"&amp;ROUNDUP(MONTH(VolumebyClient[[#This Row],[Date]])/3,0)&amp;" "&amp;YEAR(VolumebyClient[[#This Row],[Date]])</f>
        <v>Q1 2021</v>
      </c>
      <c r="I820" s="1" t="str">
        <f>VLOOKUP(VolumebyClient[[#This Row],[Date]],Quarters[],3,TRUE)</f>
        <v>Q1 2021</v>
      </c>
    </row>
    <row r="821" spans="1:9" x14ac:dyDescent="0.2">
      <c r="A821" s="2" t="s">
        <v>29</v>
      </c>
      <c r="B821" s="10">
        <v>44255</v>
      </c>
      <c r="C821" s="5">
        <v>945</v>
      </c>
      <c r="D821" s="1">
        <f>LEN(VolumebyClient[[#This Row],[CLID]])</f>
        <v>7</v>
      </c>
      <c r="F821" s="1" t="str">
        <f>INDEX(GeobyClient[GEOID],MATCH(VolumebyClient[[#This Row],[CLID]],GeobyClient[Right],0))</f>
        <v>GEO1002</v>
      </c>
      <c r="G821" s="1" t="str">
        <f>VLOOKUP(VolumebyClient[[#This Row],[Index Match Region ID]],GEONames[[GEOID]:[GEO NAME]],2,FALSE)</f>
        <v>APAC</v>
      </c>
      <c r="H821" s="1" t="str">
        <f>"Q"&amp;ROUNDUP(MONTH(VolumebyClient[[#This Row],[Date]])/3,0)&amp;" "&amp;YEAR(VolumebyClient[[#This Row],[Date]])</f>
        <v>Q1 2021</v>
      </c>
      <c r="I821" s="1" t="str">
        <f>VLOOKUP(VolumebyClient[[#This Row],[Date]],Quarters[],3,TRUE)</f>
        <v>Q1 2021</v>
      </c>
    </row>
    <row r="822" spans="1:9" x14ac:dyDescent="0.2">
      <c r="A822" s="2" t="s">
        <v>29</v>
      </c>
      <c r="B822" s="10">
        <v>44227</v>
      </c>
      <c r="C822" s="5">
        <v>936</v>
      </c>
      <c r="D822" s="1">
        <f>LEN(VolumebyClient[[#This Row],[CLID]])</f>
        <v>7</v>
      </c>
      <c r="F822" s="1" t="str">
        <f>INDEX(GeobyClient[GEOID],MATCH(VolumebyClient[[#This Row],[CLID]],GeobyClient[Right],0))</f>
        <v>GEO1002</v>
      </c>
      <c r="G822" s="1" t="str">
        <f>VLOOKUP(VolumebyClient[[#This Row],[Index Match Region ID]],GEONames[[GEOID]:[GEO NAME]],2,FALSE)</f>
        <v>APAC</v>
      </c>
      <c r="H822" s="1" t="str">
        <f>"Q"&amp;ROUNDUP(MONTH(VolumebyClient[[#This Row],[Date]])/3,0)&amp;" "&amp;YEAR(VolumebyClient[[#This Row],[Date]])</f>
        <v>Q1 2021</v>
      </c>
      <c r="I822" s="1" t="str">
        <f>VLOOKUP(VolumebyClient[[#This Row],[Date]],Quarters[],3,TRUE)</f>
        <v>Q1 2021</v>
      </c>
    </row>
    <row r="823" spans="1:9" x14ac:dyDescent="0.2">
      <c r="A823" s="2" t="s">
        <v>39</v>
      </c>
      <c r="B823" s="10">
        <v>43861</v>
      </c>
      <c r="C823" s="5">
        <v>1244</v>
      </c>
      <c r="D823" s="1">
        <f>LEN(VolumebyClient[[#This Row],[CLID]])</f>
        <v>7</v>
      </c>
      <c r="F823" s="1" t="str">
        <f>INDEX(GeobyClient[GEOID],MATCH(VolumebyClient[[#This Row],[CLID]],GeobyClient[Right],0))</f>
        <v>GEO1002</v>
      </c>
      <c r="G823" s="1" t="str">
        <f>VLOOKUP(VolumebyClient[[#This Row],[Index Match Region ID]],GEONames[[GEOID]:[GEO NAME]],2,FALSE)</f>
        <v>APAC</v>
      </c>
      <c r="H823" s="1" t="str">
        <f>"Q"&amp;ROUNDUP(MONTH(VolumebyClient[[#This Row],[Date]])/3,0)&amp;" "&amp;YEAR(VolumebyClient[[#This Row],[Date]])</f>
        <v>Q1 2020</v>
      </c>
      <c r="I823" s="1" t="str">
        <f>VLOOKUP(VolumebyClient[[#This Row],[Date]],Quarters[],3,TRUE)</f>
        <v>Q1 2020</v>
      </c>
    </row>
    <row r="824" spans="1:9" x14ac:dyDescent="0.2">
      <c r="A824" s="2" t="s">
        <v>39</v>
      </c>
      <c r="B824" s="10">
        <v>43890</v>
      </c>
      <c r="C824" s="5">
        <v>1240</v>
      </c>
      <c r="D824" s="1">
        <f>LEN(VolumebyClient[[#This Row],[CLID]])</f>
        <v>7</v>
      </c>
      <c r="F824" s="1" t="str">
        <f>INDEX(GeobyClient[GEOID],MATCH(VolumebyClient[[#This Row],[CLID]],GeobyClient[Right],0))</f>
        <v>GEO1002</v>
      </c>
      <c r="G824" s="1" t="str">
        <f>VLOOKUP(VolumebyClient[[#This Row],[Index Match Region ID]],GEONames[[GEOID]:[GEO NAME]],2,FALSE)</f>
        <v>APAC</v>
      </c>
      <c r="H824" s="1" t="str">
        <f>"Q"&amp;ROUNDUP(MONTH(VolumebyClient[[#This Row],[Date]])/3,0)&amp;" "&amp;YEAR(VolumebyClient[[#This Row],[Date]])</f>
        <v>Q1 2020</v>
      </c>
      <c r="I824" s="1" t="str">
        <f>VLOOKUP(VolumebyClient[[#This Row],[Date]],Quarters[],3,TRUE)</f>
        <v>Q1 2020</v>
      </c>
    </row>
    <row r="825" spans="1:9" x14ac:dyDescent="0.2">
      <c r="A825" s="2" t="s">
        <v>39</v>
      </c>
      <c r="B825" s="10">
        <v>43921</v>
      </c>
      <c r="C825" s="5">
        <v>1534</v>
      </c>
      <c r="D825" s="1">
        <f>LEN(VolumebyClient[[#This Row],[CLID]])</f>
        <v>7</v>
      </c>
      <c r="F825" s="1" t="str">
        <f>INDEX(GeobyClient[GEOID],MATCH(VolumebyClient[[#This Row],[CLID]],GeobyClient[Right],0))</f>
        <v>GEO1002</v>
      </c>
      <c r="G825" s="1" t="str">
        <f>VLOOKUP(VolumebyClient[[#This Row],[Index Match Region ID]],GEONames[[GEOID]:[GEO NAME]],2,FALSE)</f>
        <v>APAC</v>
      </c>
      <c r="H825" s="1" t="str">
        <f>"Q"&amp;ROUNDUP(MONTH(VolumebyClient[[#This Row],[Date]])/3,0)&amp;" "&amp;YEAR(VolumebyClient[[#This Row],[Date]])</f>
        <v>Q1 2020</v>
      </c>
      <c r="I825" s="1" t="str">
        <f>VLOOKUP(VolumebyClient[[#This Row],[Date]],Quarters[],3,TRUE)</f>
        <v>Q1 2020</v>
      </c>
    </row>
    <row r="826" spans="1:9" x14ac:dyDescent="0.2">
      <c r="A826" s="2" t="s">
        <v>39</v>
      </c>
      <c r="B826" s="10">
        <v>43951</v>
      </c>
      <c r="C826" s="5">
        <v>1675</v>
      </c>
      <c r="D826" s="1">
        <f>LEN(VolumebyClient[[#This Row],[CLID]])</f>
        <v>7</v>
      </c>
      <c r="F826" s="1" t="str">
        <f>INDEX(GeobyClient[GEOID],MATCH(VolumebyClient[[#This Row],[CLID]],GeobyClient[Right],0))</f>
        <v>GEO1002</v>
      </c>
      <c r="G826" s="1" t="str">
        <f>VLOOKUP(VolumebyClient[[#This Row],[Index Match Region ID]],GEONames[[GEOID]:[GEO NAME]],2,FALSE)</f>
        <v>APAC</v>
      </c>
      <c r="H826" s="1" t="str">
        <f>"Q"&amp;ROUNDUP(MONTH(VolumebyClient[[#This Row],[Date]])/3,0)&amp;" "&amp;YEAR(VolumebyClient[[#This Row],[Date]])</f>
        <v>Q2 2020</v>
      </c>
      <c r="I826" s="1" t="str">
        <f>VLOOKUP(VolumebyClient[[#This Row],[Date]],Quarters[],3,TRUE)</f>
        <v>Q2 2020</v>
      </c>
    </row>
    <row r="827" spans="1:9" x14ac:dyDescent="0.2">
      <c r="A827" s="2" t="s">
        <v>39</v>
      </c>
      <c r="B827" s="10">
        <v>43982</v>
      </c>
      <c r="C827" s="5">
        <v>1680</v>
      </c>
      <c r="D827" s="1">
        <f>LEN(VolumebyClient[[#This Row],[CLID]])</f>
        <v>7</v>
      </c>
      <c r="F827" s="1" t="str">
        <f>INDEX(GeobyClient[GEOID],MATCH(VolumebyClient[[#This Row],[CLID]],GeobyClient[Right],0))</f>
        <v>GEO1002</v>
      </c>
      <c r="G827" s="1" t="str">
        <f>VLOOKUP(VolumebyClient[[#This Row],[Index Match Region ID]],GEONames[[GEOID]:[GEO NAME]],2,FALSE)</f>
        <v>APAC</v>
      </c>
      <c r="H827" s="1" t="str">
        <f>"Q"&amp;ROUNDUP(MONTH(VolumebyClient[[#This Row],[Date]])/3,0)&amp;" "&amp;YEAR(VolumebyClient[[#This Row],[Date]])</f>
        <v>Q2 2020</v>
      </c>
      <c r="I827" s="1" t="str">
        <f>VLOOKUP(VolumebyClient[[#This Row],[Date]],Quarters[],3,TRUE)</f>
        <v>Q2 2020</v>
      </c>
    </row>
    <row r="828" spans="1:9" x14ac:dyDescent="0.2">
      <c r="A828" s="2" t="s">
        <v>39</v>
      </c>
      <c r="B828" s="10">
        <v>44012</v>
      </c>
      <c r="C828" s="5">
        <v>1094</v>
      </c>
      <c r="D828" s="1">
        <f>LEN(VolumebyClient[[#This Row],[CLID]])</f>
        <v>7</v>
      </c>
      <c r="F828" s="1" t="str">
        <f>INDEX(GeobyClient[GEOID],MATCH(VolumebyClient[[#This Row],[CLID]],GeobyClient[Right],0))</f>
        <v>GEO1002</v>
      </c>
      <c r="G828" s="1" t="str">
        <f>VLOOKUP(VolumebyClient[[#This Row],[Index Match Region ID]],GEONames[[GEOID]:[GEO NAME]],2,FALSE)</f>
        <v>APAC</v>
      </c>
      <c r="H828" s="1" t="str">
        <f>"Q"&amp;ROUNDUP(MONTH(VolumebyClient[[#This Row],[Date]])/3,0)&amp;" "&amp;YEAR(VolumebyClient[[#This Row],[Date]])</f>
        <v>Q2 2020</v>
      </c>
      <c r="I828" s="1" t="str">
        <f>VLOOKUP(VolumebyClient[[#This Row],[Date]],Quarters[],3,TRUE)</f>
        <v>Q2 2020</v>
      </c>
    </row>
    <row r="829" spans="1:9" x14ac:dyDescent="0.2">
      <c r="A829" s="2" t="s">
        <v>39</v>
      </c>
      <c r="B829" s="10">
        <v>44043</v>
      </c>
      <c r="C829" s="5">
        <v>1095</v>
      </c>
      <c r="D829" s="1">
        <f>LEN(VolumebyClient[[#This Row],[CLID]])</f>
        <v>7</v>
      </c>
      <c r="F829" s="1" t="str">
        <f>INDEX(GeobyClient[GEOID],MATCH(VolumebyClient[[#This Row],[CLID]],GeobyClient[Right],0))</f>
        <v>GEO1002</v>
      </c>
      <c r="G829" s="1" t="str">
        <f>VLOOKUP(VolumebyClient[[#This Row],[Index Match Region ID]],GEONames[[GEOID]:[GEO NAME]],2,FALSE)</f>
        <v>APAC</v>
      </c>
      <c r="H829" s="1" t="str">
        <f>"Q"&amp;ROUNDUP(MONTH(VolumebyClient[[#This Row],[Date]])/3,0)&amp;" "&amp;YEAR(VolumebyClient[[#This Row],[Date]])</f>
        <v>Q3 2020</v>
      </c>
      <c r="I829" s="1" t="str">
        <f>VLOOKUP(VolumebyClient[[#This Row],[Date]],Quarters[],3,TRUE)</f>
        <v>Q3 2020</v>
      </c>
    </row>
    <row r="830" spans="1:9" x14ac:dyDescent="0.2">
      <c r="A830" s="2" t="s">
        <v>39</v>
      </c>
      <c r="B830" s="10">
        <v>44074</v>
      </c>
      <c r="C830" s="5">
        <v>807</v>
      </c>
      <c r="D830" s="1">
        <f>LEN(VolumebyClient[[#This Row],[CLID]])</f>
        <v>7</v>
      </c>
      <c r="F830" s="1" t="str">
        <f>INDEX(GeobyClient[GEOID],MATCH(VolumebyClient[[#This Row],[CLID]],GeobyClient[Right],0))</f>
        <v>GEO1002</v>
      </c>
      <c r="G830" s="1" t="str">
        <f>VLOOKUP(VolumebyClient[[#This Row],[Index Match Region ID]],GEONames[[GEOID]:[GEO NAME]],2,FALSE)</f>
        <v>APAC</v>
      </c>
      <c r="H830" s="1" t="str">
        <f>"Q"&amp;ROUNDUP(MONTH(VolumebyClient[[#This Row],[Date]])/3,0)&amp;" "&amp;YEAR(VolumebyClient[[#This Row],[Date]])</f>
        <v>Q3 2020</v>
      </c>
      <c r="I830" s="1" t="str">
        <f>VLOOKUP(VolumebyClient[[#This Row],[Date]],Quarters[],3,TRUE)</f>
        <v>Q3 2020</v>
      </c>
    </row>
    <row r="831" spans="1:9" x14ac:dyDescent="0.2">
      <c r="A831" s="2" t="s">
        <v>39</v>
      </c>
      <c r="B831" s="10">
        <v>44104</v>
      </c>
      <c r="C831" s="5">
        <v>950</v>
      </c>
      <c r="D831" s="1">
        <f>LEN(VolumebyClient[[#This Row],[CLID]])</f>
        <v>7</v>
      </c>
      <c r="F831" s="1" t="str">
        <f>INDEX(GeobyClient[GEOID],MATCH(VolumebyClient[[#This Row],[CLID]],GeobyClient[Right],0))</f>
        <v>GEO1002</v>
      </c>
      <c r="G831" s="1" t="str">
        <f>VLOOKUP(VolumebyClient[[#This Row],[Index Match Region ID]],GEONames[[GEOID]:[GEO NAME]],2,FALSE)</f>
        <v>APAC</v>
      </c>
      <c r="H831" s="1" t="str">
        <f>"Q"&amp;ROUNDUP(MONTH(VolumebyClient[[#This Row],[Date]])/3,0)&amp;" "&amp;YEAR(VolumebyClient[[#This Row],[Date]])</f>
        <v>Q3 2020</v>
      </c>
      <c r="I831" s="1" t="str">
        <f>VLOOKUP(VolumebyClient[[#This Row],[Date]],Quarters[],3,TRUE)</f>
        <v>Q3 2020</v>
      </c>
    </row>
    <row r="832" spans="1:9" x14ac:dyDescent="0.2">
      <c r="A832" s="2" t="s">
        <v>39</v>
      </c>
      <c r="B832" s="10">
        <v>44135</v>
      </c>
      <c r="C832" s="5">
        <v>947</v>
      </c>
      <c r="D832" s="1">
        <f>LEN(VolumebyClient[[#This Row],[CLID]])</f>
        <v>7</v>
      </c>
      <c r="F832" s="1" t="str">
        <f>INDEX(GeobyClient[GEOID],MATCH(VolumebyClient[[#This Row],[CLID]],GeobyClient[Right],0))</f>
        <v>GEO1002</v>
      </c>
      <c r="G832" s="1" t="str">
        <f>VLOOKUP(VolumebyClient[[#This Row],[Index Match Region ID]],GEONames[[GEOID]:[GEO NAME]],2,FALSE)</f>
        <v>APAC</v>
      </c>
      <c r="H832" s="1" t="str">
        <f>"Q"&amp;ROUNDUP(MONTH(VolumebyClient[[#This Row],[Date]])/3,0)&amp;" "&amp;YEAR(VolumebyClient[[#This Row],[Date]])</f>
        <v>Q4 2020</v>
      </c>
      <c r="I832" s="1" t="str">
        <f>VLOOKUP(VolumebyClient[[#This Row],[Date]],Quarters[],3,TRUE)</f>
        <v>Q4 2020</v>
      </c>
    </row>
    <row r="833" spans="1:9" x14ac:dyDescent="0.2">
      <c r="A833" s="2" t="s">
        <v>39</v>
      </c>
      <c r="B833" s="10">
        <v>44165</v>
      </c>
      <c r="C833" s="5">
        <v>1239</v>
      </c>
      <c r="D833" s="1">
        <f>LEN(VolumebyClient[[#This Row],[CLID]])</f>
        <v>7</v>
      </c>
      <c r="F833" s="1" t="str">
        <f>INDEX(GeobyClient[GEOID],MATCH(VolumebyClient[[#This Row],[CLID]],GeobyClient[Right],0))</f>
        <v>GEO1002</v>
      </c>
      <c r="G833" s="1" t="str">
        <f>VLOOKUP(VolumebyClient[[#This Row],[Index Match Region ID]],GEONames[[GEOID]:[GEO NAME]],2,FALSE)</f>
        <v>APAC</v>
      </c>
      <c r="H833" s="1" t="str">
        <f>"Q"&amp;ROUNDUP(MONTH(VolumebyClient[[#This Row],[Date]])/3,0)&amp;" "&amp;YEAR(VolumebyClient[[#This Row],[Date]])</f>
        <v>Q4 2020</v>
      </c>
      <c r="I833" s="1" t="str">
        <f>VLOOKUP(VolumebyClient[[#This Row],[Date]],Quarters[],3,TRUE)</f>
        <v>Q4 2020</v>
      </c>
    </row>
    <row r="834" spans="1:9" x14ac:dyDescent="0.2">
      <c r="A834" s="2" t="s">
        <v>39</v>
      </c>
      <c r="B834" s="10">
        <v>44196</v>
      </c>
      <c r="C834" s="5">
        <v>1092</v>
      </c>
      <c r="D834" s="1">
        <f>LEN(VolumebyClient[[#This Row],[CLID]])</f>
        <v>7</v>
      </c>
      <c r="F834" s="1" t="str">
        <f>INDEX(GeobyClient[GEOID],MATCH(VolumebyClient[[#This Row],[CLID]],GeobyClient[Right],0))</f>
        <v>GEO1002</v>
      </c>
      <c r="G834" s="1" t="str">
        <f>VLOOKUP(VolumebyClient[[#This Row],[Index Match Region ID]],GEONames[[GEOID]:[GEO NAME]],2,FALSE)</f>
        <v>APAC</v>
      </c>
      <c r="H834" s="1" t="str">
        <f>"Q"&amp;ROUNDUP(MONTH(VolumebyClient[[#This Row],[Date]])/3,0)&amp;" "&amp;YEAR(VolumebyClient[[#This Row],[Date]])</f>
        <v>Q4 2020</v>
      </c>
      <c r="I834" s="1" t="str">
        <f>VLOOKUP(VolumebyClient[[#This Row],[Date]],Quarters[],3,TRUE)</f>
        <v>Q4 2020</v>
      </c>
    </row>
    <row r="835" spans="1:9" x14ac:dyDescent="0.2">
      <c r="A835" s="2" t="s">
        <v>39</v>
      </c>
      <c r="B835" s="10">
        <v>44377</v>
      </c>
      <c r="C835" s="5">
        <v>1153</v>
      </c>
      <c r="D835" s="1">
        <f>LEN(VolumebyClient[[#This Row],[CLID]])</f>
        <v>7</v>
      </c>
      <c r="F835" s="1" t="str">
        <f>INDEX(GeobyClient[GEOID],MATCH(VolumebyClient[[#This Row],[CLID]],GeobyClient[Right],0))</f>
        <v>GEO1002</v>
      </c>
      <c r="G835" s="1" t="str">
        <f>VLOOKUP(VolumebyClient[[#This Row],[Index Match Region ID]],GEONames[[GEOID]:[GEO NAME]],2,FALSE)</f>
        <v>APAC</v>
      </c>
      <c r="H835" s="1" t="str">
        <f>"Q"&amp;ROUNDUP(MONTH(VolumebyClient[[#This Row],[Date]])/3,0)&amp;" "&amp;YEAR(VolumebyClient[[#This Row],[Date]])</f>
        <v>Q2 2021</v>
      </c>
      <c r="I835" s="1" t="str">
        <f>VLOOKUP(VolumebyClient[[#This Row],[Date]],Quarters[],3,TRUE)</f>
        <v>Q2 2021</v>
      </c>
    </row>
    <row r="836" spans="1:9" x14ac:dyDescent="0.2">
      <c r="A836" s="2" t="s">
        <v>39</v>
      </c>
      <c r="B836" s="10">
        <v>44347</v>
      </c>
      <c r="C836" s="5">
        <v>1659</v>
      </c>
      <c r="D836" s="1">
        <f>LEN(VolumebyClient[[#This Row],[CLID]])</f>
        <v>7</v>
      </c>
      <c r="F836" s="1" t="str">
        <f>INDEX(GeobyClient[GEOID],MATCH(VolumebyClient[[#This Row],[CLID]],GeobyClient[Right],0))</f>
        <v>GEO1002</v>
      </c>
      <c r="G836" s="1" t="str">
        <f>VLOOKUP(VolumebyClient[[#This Row],[Index Match Region ID]],GEONames[[GEOID]:[GEO NAME]],2,FALSE)</f>
        <v>APAC</v>
      </c>
      <c r="H836" s="1" t="str">
        <f>"Q"&amp;ROUNDUP(MONTH(VolumebyClient[[#This Row],[Date]])/3,0)&amp;" "&amp;YEAR(VolumebyClient[[#This Row],[Date]])</f>
        <v>Q2 2021</v>
      </c>
      <c r="I836" s="1" t="str">
        <f>VLOOKUP(VolumebyClient[[#This Row],[Date]],Quarters[],3,TRUE)</f>
        <v>Q2 2021</v>
      </c>
    </row>
    <row r="837" spans="1:9" x14ac:dyDescent="0.2">
      <c r="A837" s="2" t="s">
        <v>39</v>
      </c>
      <c r="B837" s="10">
        <v>44316</v>
      </c>
      <c r="C837" s="5">
        <v>1710</v>
      </c>
      <c r="D837" s="1">
        <f>LEN(VolumebyClient[[#This Row],[CLID]])</f>
        <v>7</v>
      </c>
      <c r="F837" s="1" t="str">
        <f>INDEX(GeobyClient[GEOID],MATCH(VolumebyClient[[#This Row],[CLID]],GeobyClient[Right],0))</f>
        <v>GEO1002</v>
      </c>
      <c r="G837" s="1" t="str">
        <f>VLOOKUP(VolumebyClient[[#This Row],[Index Match Region ID]],GEONames[[GEOID]:[GEO NAME]],2,FALSE)</f>
        <v>APAC</v>
      </c>
      <c r="H837" s="1" t="str">
        <f>"Q"&amp;ROUNDUP(MONTH(VolumebyClient[[#This Row],[Date]])/3,0)&amp;" "&amp;YEAR(VolumebyClient[[#This Row],[Date]])</f>
        <v>Q2 2021</v>
      </c>
      <c r="I837" s="1" t="str">
        <f>VLOOKUP(VolumebyClient[[#This Row],[Date]],Quarters[],3,TRUE)</f>
        <v>Q2 2021</v>
      </c>
    </row>
    <row r="838" spans="1:9" x14ac:dyDescent="0.2">
      <c r="A838" s="2" t="s">
        <v>39</v>
      </c>
      <c r="B838" s="10">
        <v>44286</v>
      </c>
      <c r="C838" s="5">
        <v>1546</v>
      </c>
      <c r="D838" s="1">
        <f>LEN(VolumebyClient[[#This Row],[CLID]])</f>
        <v>7</v>
      </c>
      <c r="F838" s="1" t="str">
        <f>INDEX(GeobyClient[GEOID],MATCH(VolumebyClient[[#This Row],[CLID]],GeobyClient[Right],0))</f>
        <v>GEO1002</v>
      </c>
      <c r="G838" s="1" t="str">
        <f>VLOOKUP(VolumebyClient[[#This Row],[Index Match Region ID]],GEONames[[GEOID]:[GEO NAME]],2,FALSE)</f>
        <v>APAC</v>
      </c>
      <c r="H838" s="1" t="str">
        <f>"Q"&amp;ROUNDUP(MONTH(VolumebyClient[[#This Row],[Date]])/3,0)&amp;" "&amp;YEAR(VolumebyClient[[#This Row],[Date]])</f>
        <v>Q1 2021</v>
      </c>
      <c r="I838" s="1" t="str">
        <f>VLOOKUP(VolumebyClient[[#This Row],[Date]],Quarters[],3,TRUE)</f>
        <v>Q1 2021</v>
      </c>
    </row>
    <row r="839" spans="1:9" x14ac:dyDescent="0.2">
      <c r="A839" s="2" t="s">
        <v>39</v>
      </c>
      <c r="B839" s="10">
        <v>44255</v>
      </c>
      <c r="C839" s="5">
        <v>1289</v>
      </c>
      <c r="D839" s="1">
        <f>LEN(VolumebyClient[[#This Row],[CLID]])</f>
        <v>7</v>
      </c>
      <c r="F839" s="1" t="str">
        <f>INDEX(GeobyClient[GEOID],MATCH(VolumebyClient[[#This Row],[CLID]],GeobyClient[Right],0))</f>
        <v>GEO1002</v>
      </c>
      <c r="G839" s="1" t="str">
        <f>VLOOKUP(VolumebyClient[[#This Row],[Index Match Region ID]],GEONames[[GEOID]:[GEO NAME]],2,FALSE)</f>
        <v>APAC</v>
      </c>
      <c r="H839" s="1" t="str">
        <f>"Q"&amp;ROUNDUP(MONTH(VolumebyClient[[#This Row],[Date]])/3,0)&amp;" "&amp;YEAR(VolumebyClient[[#This Row],[Date]])</f>
        <v>Q1 2021</v>
      </c>
      <c r="I839" s="1" t="str">
        <f>VLOOKUP(VolumebyClient[[#This Row],[Date]],Quarters[],3,TRUE)</f>
        <v>Q1 2021</v>
      </c>
    </row>
    <row r="840" spans="1:9" x14ac:dyDescent="0.2">
      <c r="A840" s="2" t="s">
        <v>39</v>
      </c>
      <c r="B840" s="10">
        <v>44227</v>
      </c>
      <c r="C840" s="5">
        <v>1236</v>
      </c>
      <c r="D840" s="1">
        <f>LEN(VolumebyClient[[#This Row],[CLID]])</f>
        <v>7</v>
      </c>
      <c r="F840" s="1" t="str">
        <f>INDEX(GeobyClient[GEOID],MATCH(VolumebyClient[[#This Row],[CLID]],GeobyClient[Right],0))</f>
        <v>GEO1002</v>
      </c>
      <c r="G840" s="1" t="str">
        <f>VLOOKUP(VolumebyClient[[#This Row],[Index Match Region ID]],GEONames[[GEOID]:[GEO NAME]],2,FALSE)</f>
        <v>APAC</v>
      </c>
      <c r="H840" s="1" t="str">
        <f>"Q"&amp;ROUNDUP(MONTH(VolumebyClient[[#This Row],[Date]])/3,0)&amp;" "&amp;YEAR(VolumebyClient[[#This Row],[Date]])</f>
        <v>Q1 2021</v>
      </c>
      <c r="I840" s="1" t="str">
        <f>VLOOKUP(VolumebyClient[[#This Row],[Date]],Quarters[],3,TRUE)</f>
        <v>Q1 2021</v>
      </c>
    </row>
    <row r="841" spans="1:9" x14ac:dyDescent="0.2">
      <c r="A841" s="2" t="s">
        <v>47</v>
      </c>
      <c r="B841" s="10">
        <v>43861</v>
      </c>
      <c r="C841" s="5">
        <v>1362</v>
      </c>
      <c r="D841" s="1">
        <f>LEN(VolumebyClient[[#This Row],[CLID]])</f>
        <v>7</v>
      </c>
      <c r="F841" s="1" t="str">
        <f>INDEX(GeobyClient[GEOID],MATCH(VolumebyClient[[#This Row],[CLID]],GeobyClient[Right],0))</f>
        <v>GEO1001</v>
      </c>
      <c r="G841" s="1" t="str">
        <f>VLOOKUP(VolumebyClient[[#This Row],[Index Match Region ID]],GEONames[[GEOID]:[GEO NAME]],2,FALSE)</f>
        <v>NAM</v>
      </c>
      <c r="H841" s="1" t="str">
        <f>"Q"&amp;ROUNDUP(MONTH(VolumebyClient[[#This Row],[Date]])/3,0)&amp;" "&amp;YEAR(VolumebyClient[[#This Row],[Date]])</f>
        <v>Q1 2020</v>
      </c>
      <c r="I841" s="1" t="str">
        <f>VLOOKUP(VolumebyClient[[#This Row],[Date]],Quarters[],3,TRUE)</f>
        <v>Q1 2020</v>
      </c>
    </row>
    <row r="842" spans="1:9" x14ac:dyDescent="0.2">
      <c r="A842" s="2" t="s">
        <v>47</v>
      </c>
      <c r="B842" s="10">
        <v>43890</v>
      </c>
      <c r="C842" s="5">
        <v>1719</v>
      </c>
      <c r="D842" s="1">
        <f>LEN(VolumebyClient[[#This Row],[CLID]])</f>
        <v>7</v>
      </c>
      <c r="F842" s="1" t="str">
        <f>INDEX(GeobyClient[GEOID],MATCH(VolumebyClient[[#This Row],[CLID]],GeobyClient[Right],0))</f>
        <v>GEO1001</v>
      </c>
      <c r="G842" s="1" t="str">
        <f>VLOOKUP(VolumebyClient[[#This Row],[Index Match Region ID]],GEONames[[GEOID]:[GEO NAME]],2,FALSE)</f>
        <v>NAM</v>
      </c>
      <c r="H842" s="1" t="str">
        <f>"Q"&amp;ROUNDUP(MONTH(VolumebyClient[[#This Row],[Date]])/3,0)&amp;" "&amp;YEAR(VolumebyClient[[#This Row],[Date]])</f>
        <v>Q1 2020</v>
      </c>
      <c r="I842" s="1" t="str">
        <f>VLOOKUP(VolumebyClient[[#This Row],[Date]],Quarters[],3,TRUE)</f>
        <v>Q1 2020</v>
      </c>
    </row>
    <row r="843" spans="1:9" x14ac:dyDescent="0.2">
      <c r="A843" s="2" t="s">
        <v>47</v>
      </c>
      <c r="B843" s="10">
        <v>43921</v>
      </c>
      <c r="C843" s="5">
        <v>1717</v>
      </c>
      <c r="D843" s="1">
        <f>LEN(VolumebyClient[[#This Row],[CLID]])</f>
        <v>7</v>
      </c>
      <c r="F843" s="1" t="str">
        <f>INDEX(GeobyClient[GEOID],MATCH(VolumebyClient[[#This Row],[CLID]],GeobyClient[Right],0))</f>
        <v>GEO1001</v>
      </c>
      <c r="G843" s="1" t="str">
        <f>VLOOKUP(VolumebyClient[[#This Row],[Index Match Region ID]],GEONames[[GEOID]:[GEO NAME]],2,FALSE)</f>
        <v>NAM</v>
      </c>
      <c r="H843" s="1" t="str">
        <f>"Q"&amp;ROUNDUP(MONTH(VolumebyClient[[#This Row],[Date]])/3,0)&amp;" "&amp;YEAR(VolumebyClient[[#This Row],[Date]])</f>
        <v>Q1 2020</v>
      </c>
      <c r="I843" s="1" t="str">
        <f>VLOOKUP(VolumebyClient[[#This Row],[Date]],Quarters[],3,TRUE)</f>
        <v>Q1 2020</v>
      </c>
    </row>
    <row r="844" spans="1:9" x14ac:dyDescent="0.2">
      <c r="A844" s="2" t="s">
        <v>47</v>
      </c>
      <c r="B844" s="10">
        <v>43951</v>
      </c>
      <c r="C844" s="5">
        <v>2259</v>
      </c>
      <c r="D844" s="1">
        <f>LEN(VolumebyClient[[#This Row],[CLID]])</f>
        <v>7</v>
      </c>
      <c r="F844" s="1" t="str">
        <f>INDEX(GeobyClient[GEOID],MATCH(VolumebyClient[[#This Row],[CLID]],GeobyClient[Right],0))</f>
        <v>GEO1001</v>
      </c>
      <c r="G844" s="1" t="str">
        <f>VLOOKUP(VolumebyClient[[#This Row],[Index Match Region ID]],GEONames[[GEOID]:[GEO NAME]],2,FALSE)</f>
        <v>NAM</v>
      </c>
      <c r="H844" s="1" t="str">
        <f>"Q"&amp;ROUNDUP(MONTH(VolumebyClient[[#This Row],[Date]])/3,0)&amp;" "&amp;YEAR(VolumebyClient[[#This Row],[Date]])</f>
        <v>Q2 2020</v>
      </c>
      <c r="I844" s="1" t="str">
        <f>VLOOKUP(VolumebyClient[[#This Row],[Date]],Quarters[],3,TRUE)</f>
        <v>Q2 2020</v>
      </c>
    </row>
    <row r="845" spans="1:9" x14ac:dyDescent="0.2">
      <c r="A845" s="2" t="s">
        <v>47</v>
      </c>
      <c r="B845" s="10">
        <v>43982</v>
      </c>
      <c r="C845" s="5">
        <v>1898</v>
      </c>
      <c r="D845" s="1">
        <f>LEN(VolumebyClient[[#This Row],[CLID]])</f>
        <v>7</v>
      </c>
      <c r="F845" s="1" t="str">
        <f>INDEX(GeobyClient[GEOID],MATCH(VolumebyClient[[#This Row],[CLID]],GeobyClient[Right],0))</f>
        <v>GEO1001</v>
      </c>
      <c r="G845" s="1" t="str">
        <f>VLOOKUP(VolumebyClient[[#This Row],[Index Match Region ID]],GEONames[[GEOID]:[GEO NAME]],2,FALSE)</f>
        <v>NAM</v>
      </c>
      <c r="H845" s="1" t="str">
        <f>"Q"&amp;ROUNDUP(MONTH(VolumebyClient[[#This Row],[Date]])/3,0)&amp;" "&amp;YEAR(VolumebyClient[[#This Row],[Date]])</f>
        <v>Q2 2020</v>
      </c>
      <c r="I845" s="1" t="str">
        <f>VLOOKUP(VolumebyClient[[#This Row],[Date]],Quarters[],3,TRUE)</f>
        <v>Q2 2020</v>
      </c>
    </row>
    <row r="846" spans="1:9" x14ac:dyDescent="0.2">
      <c r="A846" s="2" t="s">
        <v>47</v>
      </c>
      <c r="B846" s="10">
        <v>44012</v>
      </c>
      <c r="C846" s="5">
        <v>1539</v>
      </c>
      <c r="D846" s="1">
        <f>LEN(VolumebyClient[[#This Row],[CLID]])</f>
        <v>7</v>
      </c>
      <c r="F846" s="1" t="str">
        <f>INDEX(GeobyClient[GEOID],MATCH(VolumebyClient[[#This Row],[CLID]],GeobyClient[Right],0))</f>
        <v>GEO1001</v>
      </c>
      <c r="G846" s="1" t="str">
        <f>VLOOKUP(VolumebyClient[[#This Row],[Index Match Region ID]],GEONames[[GEOID]:[GEO NAME]],2,FALSE)</f>
        <v>NAM</v>
      </c>
      <c r="H846" s="1" t="str">
        <f>"Q"&amp;ROUNDUP(MONTH(VolumebyClient[[#This Row],[Date]])/3,0)&amp;" "&amp;YEAR(VolumebyClient[[#This Row],[Date]])</f>
        <v>Q2 2020</v>
      </c>
      <c r="I846" s="1" t="str">
        <f>VLOOKUP(VolumebyClient[[#This Row],[Date]],Quarters[],3,TRUE)</f>
        <v>Q2 2020</v>
      </c>
    </row>
    <row r="847" spans="1:9" x14ac:dyDescent="0.2">
      <c r="A847" s="2" t="s">
        <v>47</v>
      </c>
      <c r="B847" s="10">
        <v>44043</v>
      </c>
      <c r="C847" s="5">
        <v>1180</v>
      </c>
      <c r="D847" s="1">
        <f>LEN(VolumebyClient[[#This Row],[CLID]])</f>
        <v>7</v>
      </c>
      <c r="F847" s="1" t="str">
        <f>INDEX(GeobyClient[GEOID],MATCH(VolumebyClient[[#This Row],[CLID]],GeobyClient[Right],0))</f>
        <v>GEO1001</v>
      </c>
      <c r="G847" s="1" t="str">
        <f>VLOOKUP(VolumebyClient[[#This Row],[Index Match Region ID]],GEONames[[GEOID]:[GEO NAME]],2,FALSE)</f>
        <v>NAM</v>
      </c>
      <c r="H847" s="1" t="str">
        <f>"Q"&amp;ROUNDUP(MONTH(VolumebyClient[[#This Row],[Date]])/3,0)&amp;" "&amp;YEAR(VolumebyClient[[#This Row],[Date]])</f>
        <v>Q3 2020</v>
      </c>
      <c r="I847" s="1" t="str">
        <f>VLOOKUP(VolumebyClient[[#This Row],[Date]],Quarters[],3,TRUE)</f>
        <v>Q3 2020</v>
      </c>
    </row>
    <row r="848" spans="1:9" x14ac:dyDescent="0.2">
      <c r="A848" s="2" t="s">
        <v>47</v>
      </c>
      <c r="B848" s="10">
        <v>44074</v>
      </c>
      <c r="C848" s="5">
        <v>1175</v>
      </c>
      <c r="D848" s="1">
        <f>LEN(VolumebyClient[[#This Row],[CLID]])</f>
        <v>7</v>
      </c>
      <c r="F848" s="1" t="str">
        <f>INDEX(GeobyClient[GEOID],MATCH(VolumebyClient[[#This Row],[CLID]],GeobyClient[Right],0))</f>
        <v>GEO1001</v>
      </c>
      <c r="G848" s="1" t="str">
        <f>VLOOKUP(VolumebyClient[[#This Row],[Index Match Region ID]],GEONames[[GEOID]:[GEO NAME]],2,FALSE)</f>
        <v>NAM</v>
      </c>
      <c r="H848" s="1" t="str">
        <f>"Q"&amp;ROUNDUP(MONTH(VolumebyClient[[#This Row],[Date]])/3,0)&amp;" "&amp;YEAR(VolumebyClient[[#This Row],[Date]])</f>
        <v>Q3 2020</v>
      </c>
      <c r="I848" s="1" t="str">
        <f>VLOOKUP(VolumebyClient[[#This Row],[Date]],Quarters[],3,TRUE)</f>
        <v>Q3 2020</v>
      </c>
    </row>
    <row r="849" spans="1:9" x14ac:dyDescent="0.2">
      <c r="A849" s="2" t="s">
        <v>47</v>
      </c>
      <c r="B849" s="10">
        <v>44104</v>
      </c>
      <c r="C849" s="5">
        <v>999</v>
      </c>
      <c r="D849" s="1">
        <f>LEN(VolumebyClient[[#This Row],[CLID]])</f>
        <v>7</v>
      </c>
      <c r="F849" s="1" t="str">
        <f>INDEX(GeobyClient[GEOID],MATCH(VolumebyClient[[#This Row],[CLID]],GeobyClient[Right],0))</f>
        <v>GEO1001</v>
      </c>
      <c r="G849" s="1" t="str">
        <f>VLOOKUP(VolumebyClient[[#This Row],[Index Match Region ID]],GEONames[[GEOID]:[GEO NAME]],2,FALSE)</f>
        <v>NAM</v>
      </c>
      <c r="H849" s="1" t="str">
        <f>"Q"&amp;ROUNDUP(MONTH(VolumebyClient[[#This Row],[Date]])/3,0)&amp;" "&amp;YEAR(VolumebyClient[[#This Row],[Date]])</f>
        <v>Q3 2020</v>
      </c>
      <c r="I849" s="1" t="str">
        <f>VLOOKUP(VolumebyClient[[#This Row],[Date]],Quarters[],3,TRUE)</f>
        <v>Q3 2020</v>
      </c>
    </row>
    <row r="850" spans="1:9" x14ac:dyDescent="0.2">
      <c r="A850" s="2" t="s">
        <v>47</v>
      </c>
      <c r="B850" s="10">
        <v>44135</v>
      </c>
      <c r="C850" s="5">
        <v>1361</v>
      </c>
      <c r="D850" s="1">
        <f>LEN(VolumebyClient[[#This Row],[CLID]])</f>
        <v>7</v>
      </c>
      <c r="F850" s="1" t="str">
        <f>INDEX(GeobyClient[GEOID],MATCH(VolumebyClient[[#This Row],[CLID]],GeobyClient[Right],0))</f>
        <v>GEO1001</v>
      </c>
      <c r="G850" s="1" t="str">
        <f>VLOOKUP(VolumebyClient[[#This Row],[Index Match Region ID]],GEONames[[GEOID]:[GEO NAME]],2,FALSE)</f>
        <v>NAM</v>
      </c>
      <c r="H850" s="1" t="str">
        <f>"Q"&amp;ROUNDUP(MONTH(VolumebyClient[[#This Row],[Date]])/3,0)&amp;" "&amp;YEAR(VolumebyClient[[#This Row],[Date]])</f>
        <v>Q4 2020</v>
      </c>
      <c r="I850" s="1" t="str">
        <f>VLOOKUP(VolumebyClient[[#This Row],[Date]],Quarters[],3,TRUE)</f>
        <v>Q4 2020</v>
      </c>
    </row>
    <row r="851" spans="1:9" x14ac:dyDescent="0.2">
      <c r="A851" s="2" t="s">
        <v>47</v>
      </c>
      <c r="B851" s="10">
        <v>44165</v>
      </c>
      <c r="C851" s="5">
        <v>1358</v>
      </c>
      <c r="D851" s="1">
        <f>LEN(VolumebyClient[[#This Row],[CLID]])</f>
        <v>7</v>
      </c>
      <c r="F851" s="1" t="str">
        <f>INDEX(GeobyClient[GEOID],MATCH(VolumebyClient[[#This Row],[CLID]],GeobyClient[Right],0))</f>
        <v>GEO1001</v>
      </c>
      <c r="G851" s="1" t="str">
        <f>VLOOKUP(VolumebyClient[[#This Row],[Index Match Region ID]],GEONames[[GEOID]:[GEO NAME]],2,FALSE)</f>
        <v>NAM</v>
      </c>
      <c r="H851" s="1" t="str">
        <f>"Q"&amp;ROUNDUP(MONTH(VolumebyClient[[#This Row],[Date]])/3,0)&amp;" "&amp;YEAR(VolumebyClient[[#This Row],[Date]])</f>
        <v>Q4 2020</v>
      </c>
      <c r="I851" s="1" t="str">
        <f>VLOOKUP(VolumebyClient[[#This Row],[Date]],Quarters[],3,TRUE)</f>
        <v>Q4 2020</v>
      </c>
    </row>
    <row r="852" spans="1:9" x14ac:dyDescent="0.2">
      <c r="A852" s="2" t="s">
        <v>47</v>
      </c>
      <c r="B852" s="10">
        <v>44196</v>
      </c>
      <c r="C852" s="5">
        <v>1542</v>
      </c>
      <c r="D852" s="1">
        <f>LEN(VolumebyClient[[#This Row],[CLID]])</f>
        <v>7</v>
      </c>
      <c r="F852" s="1" t="str">
        <f>INDEX(GeobyClient[GEOID],MATCH(VolumebyClient[[#This Row],[CLID]],GeobyClient[Right],0))</f>
        <v>GEO1001</v>
      </c>
      <c r="G852" s="1" t="str">
        <f>VLOOKUP(VolumebyClient[[#This Row],[Index Match Region ID]],GEONames[[GEOID]:[GEO NAME]],2,FALSE)</f>
        <v>NAM</v>
      </c>
      <c r="H852" s="1" t="str">
        <f>"Q"&amp;ROUNDUP(MONTH(VolumebyClient[[#This Row],[Date]])/3,0)&amp;" "&amp;YEAR(VolumebyClient[[#This Row],[Date]])</f>
        <v>Q4 2020</v>
      </c>
      <c r="I852" s="1" t="str">
        <f>VLOOKUP(VolumebyClient[[#This Row],[Date]],Quarters[],3,TRUE)</f>
        <v>Q4 2020</v>
      </c>
    </row>
    <row r="853" spans="1:9" x14ac:dyDescent="0.2">
      <c r="A853" s="2" t="s">
        <v>47</v>
      </c>
      <c r="B853" s="10">
        <v>44377</v>
      </c>
      <c r="C853" s="5">
        <v>1553</v>
      </c>
      <c r="D853" s="1">
        <f>LEN(VolumebyClient[[#This Row],[CLID]])</f>
        <v>7</v>
      </c>
      <c r="F853" s="1" t="str">
        <f>INDEX(GeobyClient[GEOID],MATCH(VolumebyClient[[#This Row],[CLID]],GeobyClient[Right],0))</f>
        <v>GEO1001</v>
      </c>
      <c r="G853" s="1" t="str">
        <f>VLOOKUP(VolumebyClient[[#This Row],[Index Match Region ID]],GEONames[[GEOID]:[GEO NAME]],2,FALSE)</f>
        <v>NAM</v>
      </c>
      <c r="H853" s="1" t="str">
        <f>"Q"&amp;ROUNDUP(MONTH(VolumebyClient[[#This Row],[Date]])/3,0)&amp;" "&amp;YEAR(VolumebyClient[[#This Row],[Date]])</f>
        <v>Q2 2021</v>
      </c>
      <c r="I853" s="1" t="str">
        <f>VLOOKUP(VolumebyClient[[#This Row],[Date]],Quarters[],3,TRUE)</f>
        <v>Q2 2021</v>
      </c>
    </row>
    <row r="854" spans="1:9" x14ac:dyDescent="0.2">
      <c r="A854" s="2" t="s">
        <v>47</v>
      </c>
      <c r="B854" s="10">
        <v>44347</v>
      </c>
      <c r="C854" s="5">
        <v>1998</v>
      </c>
      <c r="D854" s="1">
        <f>LEN(VolumebyClient[[#This Row],[CLID]])</f>
        <v>7</v>
      </c>
      <c r="F854" s="1" t="str">
        <f>INDEX(GeobyClient[GEOID],MATCH(VolumebyClient[[#This Row],[CLID]],GeobyClient[Right],0))</f>
        <v>GEO1001</v>
      </c>
      <c r="G854" s="1" t="str">
        <f>VLOOKUP(VolumebyClient[[#This Row],[Index Match Region ID]],GEONames[[GEOID]:[GEO NAME]],2,FALSE)</f>
        <v>NAM</v>
      </c>
      <c r="H854" s="1" t="str">
        <f>"Q"&amp;ROUNDUP(MONTH(VolumebyClient[[#This Row],[Date]])/3,0)&amp;" "&amp;YEAR(VolumebyClient[[#This Row],[Date]])</f>
        <v>Q2 2021</v>
      </c>
      <c r="I854" s="1" t="str">
        <f>VLOOKUP(VolumebyClient[[#This Row],[Date]],Quarters[],3,TRUE)</f>
        <v>Q2 2021</v>
      </c>
    </row>
    <row r="855" spans="1:9" x14ac:dyDescent="0.2">
      <c r="A855" s="2" t="s">
        <v>47</v>
      </c>
      <c r="B855" s="10">
        <v>44316</v>
      </c>
      <c r="C855" s="5">
        <v>2309</v>
      </c>
      <c r="D855" s="1">
        <f>LEN(VolumebyClient[[#This Row],[CLID]])</f>
        <v>7</v>
      </c>
      <c r="F855" s="1" t="str">
        <f>INDEX(GeobyClient[GEOID],MATCH(VolumebyClient[[#This Row],[CLID]],GeobyClient[Right],0))</f>
        <v>GEO1001</v>
      </c>
      <c r="G855" s="1" t="str">
        <f>VLOOKUP(VolumebyClient[[#This Row],[Index Match Region ID]],GEONames[[GEOID]:[GEO NAME]],2,FALSE)</f>
        <v>NAM</v>
      </c>
      <c r="H855" s="1" t="str">
        <f>"Q"&amp;ROUNDUP(MONTH(VolumebyClient[[#This Row],[Date]])/3,0)&amp;" "&amp;YEAR(VolumebyClient[[#This Row],[Date]])</f>
        <v>Q2 2021</v>
      </c>
      <c r="I855" s="1" t="str">
        <f>VLOOKUP(VolumebyClient[[#This Row],[Date]],Quarters[],3,TRUE)</f>
        <v>Q2 2021</v>
      </c>
    </row>
    <row r="856" spans="1:9" x14ac:dyDescent="0.2">
      <c r="A856" s="2" t="s">
        <v>47</v>
      </c>
      <c r="B856" s="10">
        <v>44286</v>
      </c>
      <c r="C856" s="5">
        <v>1701</v>
      </c>
      <c r="D856" s="1">
        <f>LEN(VolumebyClient[[#This Row],[CLID]])</f>
        <v>7</v>
      </c>
      <c r="F856" s="1" t="str">
        <f>INDEX(GeobyClient[GEOID],MATCH(VolumebyClient[[#This Row],[CLID]],GeobyClient[Right],0))</f>
        <v>GEO1001</v>
      </c>
      <c r="G856" s="1" t="str">
        <f>VLOOKUP(VolumebyClient[[#This Row],[Index Match Region ID]],GEONames[[GEOID]:[GEO NAME]],2,FALSE)</f>
        <v>NAM</v>
      </c>
      <c r="H856" s="1" t="str">
        <f>"Q"&amp;ROUNDUP(MONTH(VolumebyClient[[#This Row],[Date]])/3,0)&amp;" "&amp;YEAR(VolumebyClient[[#This Row],[Date]])</f>
        <v>Q1 2021</v>
      </c>
      <c r="I856" s="1" t="str">
        <f>VLOOKUP(VolumebyClient[[#This Row],[Date]],Quarters[],3,TRUE)</f>
        <v>Q1 2021</v>
      </c>
    </row>
    <row r="857" spans="1:9" x14ac:dyDescent="0.2">
      <c r="A857" s="2" t="s">
        <v>47</v>
      </c>
      <c r="B857" s="10">
        <v>44255</v>
      </c>
      <c r="C857" s="5">
        <v>1790</v>
      </c>
      <c r="D857" s="1">
        <f>LEN(VolumebyClient[[#This Row],[CLID]])</f>
        <v>7</v>
      </c>
      <c r="F857" s="1" t="str">
        <f>INDEX(GeobyClient[GEOID],MATCH(VolumebyClient[[#This Row],[CLID]],GeobyClient[Right],0))</f>
        <v>GEO1001</v>
      </c>
      <c r="G857" s="1" t="str">
        <f>VLOOKUP(VolumebyClient[[#This Row],[Index Match Region ID]],GEONames[[GEOID]:[GEO NAME]],2,FALSE)</f>
        <v>NAM</v>
      </c>
      <c r="H857" s="1" t="str">
        <f>"Q"&amp;ROUNDUP(MONTH(VolumebyClient[[#This Row],[Date]])/3,0)&amp;" "&amp;YEAR(VolumebyClient[[#This Row],[Date]])</f>
        <v>Q1 2021</v>
      </c>
      <c r="I857" s="1" t="str">
        <f>VLOOKUP(VolumebyClient[[#This Row],[Date]],Quarters[],3,TRUE)</f>
        <v>Q1 2021</v>
      </c>
    </row>
    <row r="858" spans="1:9" x14ac:dyDescent="0.2">
      <c r="A858" s="2" t="s">
        <v>47</v>
      </c>
      <c r="B858" s="10">
        <v>44227</v>
      </c>
      <c r="C858" s="5">
        <v>1353</v>
      </c>
      <c r="D858" s="1">
        <f>LEN(VolumebyClient[[#This Row],[CLID]])</f>
        <v>7</v>
      </c>
      <c r="F858" s="1" t="str">
        <f>INDEX(GeobyClient[GEOID],MATCH(VolumebyClient[[#This Row],[CLID]],GeobyClient[Right],0))</f>
        <v>GEO1001</v>
      </c>
      <c r="G858" s="1" t="str">
        <f>VLOOKUP(VolumebyClient[[#This Row],[Index Match Region ID]],GEONames[[GEOID]:[GEO NAME]],2,FALSE)</f>
        <v>NAM</v>
      </c>
      <c r="H858" s="1" t="str">
        <f>"Q"&amp;ROUNDUP(MONTH(VolumebyClient[[#This Row],[Date]])/3,0)&amp;" "&amp;YEAR(VolumebyClient[[#This Row],[Date]])</f>
        <v>Q1 2021</v>
      </c>
      <c r="I858" s="1" t="str">
        <f>VLOOKUP(VolumebyClient[[#This Row],[Date]],Quarters[],3,TRUE)</f>
        <v>Q1 2021</v>
      </c>
    </row>
    <row r="859" spans="1:9" x14ac:dyDescent="0.2">
      <c r="A859" s="2" t="s">
        <v>1</v>
      </c>
      <c r="B859" s="10">
        <v>43861</v>
      </c>
      <c r="C859" s="5">
        <v>28034</v>
      </c>
      <c r="D859" s="1">
        <f>LEN(VolumebyClient[[#This Row],[CLID]])</f>
        <v>7</v>
      </c>
      <c r="F859" s="1" t="str">
        <f>INDEX(GeobyClient[GEOID],MATCH(VolumebyClient[[#This Row],[CLID]],GeobyClient[Right],0))</f>
        <v>GEO1001</v>
      </c>
      <c r="G859" s="1" t="str">
        <f>VLOOKUP(VolumebyClient[[#This Row],[Index Match Region ID]],GEONames[[GEOID]:[GEO NAME]],2,FALSE)</f>
        <v>NAM</v>
      </c>
      <c r="H859" s="1" t="str">
        <f>"Q"&amp;ROUNDUP(MONTH(VolumebyClient[[#This Row],[Date]])/3,0)&amp;" "&amp;YEAR(VolumebyClient[[#This Row],[Date]])</f>
        <v>Q1 2020</v>
      </c>
      <c r="I859" s="1" t="str">
        <f>VLOOKUP(VolumebyClient[[#This Row],[Date]],Quarters[],3,TRUE)</f>
        <v>Q1 2020</v>
      </c>
    </row>
    <row r="860" spans="1:9" x14ac:dyDescent="0.2">
      <c r="A860" s="2" t="s">
        <v>1</v>
      </c>
      <c r="B860" s="10">
        <v>43890</v>
      </c>
      <c r="C860" s="5">
        <v>24922</v>
      </c>
      <c r="D860" s="1">
        <f>LEN(VolumebyClient[[#This Row],[CLID]])</f>
        <v>7</v>
      </c>
      <c r="F860" s="1" t="str">
        <f>INDEX(GeobyClient[GEOID],MATCH(VolumebyClient[[#This Row],[CLID]],GeobyClient[Right],0))</f>
        <v>GEO1001</v>
      </c>
      <c r="G860" s="1" t="str">
        <f>VLOOKUP(VolumebyClient[[#This Row],[Index Match Region ID]],GEONames[[GEOID]:[GEO NAME]],2,FALSE)</f>
        <v>NAM</v>
      </c>
      <c r="H860" s="1" t="str">
        <f>"Q"&amp;ROUNDUP(MONTH(VolumebyClient[[#This Row],[Date]])/3,0)&amp;" "&amp;YEAR(VolumebyClient[[#This Row],[Date]])</f>
        <v>Q1 2020</v>
      </c>
      <c r="I860" s="1" t="str">
        <f>VLOOKUP(VolumebyClient[[#This Row],[Date]],Quarters[],3,TRUE)</f>
        <v>Q1 2020</v>
      </c>
    </row>
    <row r="861" spans="1:9" x14ac:dyDescent="0.2">
      <c r="A861" s="2" t="s">
        <v>1</v>
      </c>
      <c r="B861" s="10">
        <v>43921</v>
      </c>
      <c r="C861" s="5">
        <v>34268</v>
      </c>
      <c r="D861" s="1">
        <f>LEN(VolumebyClient[[#This Row],[CLID]])</f>
        <v>7</v>
      </c>
      <c r="F861" s="1" t="str">
        <f>INDEX(GeobyClient[GEOID],MATCH(VolumebyClient[[#This Row],[CLID]],GeobyClient[Right],0))</f>
        <v>GEO1001</v>
      </c>
      <c r="G861" s="1" t="str">
        <f>VLOOKUP(VolumebyClient[[#This Row],[Index Match Region ID]],GEONames[[GEOID]:[GEO NAME]],2,FALSE)</f>
        <v>NAM</v>
      </c>
      <c r="H861" s="1" t="str">
        <f>"Q"&amp;ROUNDUP(MONTH(VolumebyClient[[#This Row],[Date]])/3,0)&amp;" "&amp;YEAR(VolumebyClient[[#This Row],[Date]])</f>
        <v>Q1 2020</v>
      </c>
      <c r="I861" s="1" t="str">
        <f>VLOOKUP(VolumebyClient[[#This Row],[Date]],Quarters[],3,TRUE)</f>
        <v>Q1 2020</v>
      </c>
    </row>
    <row r="862" spans="1:9" x14ac:dyDescent="0.2">
      <c r="A862" s="2" t="s">
        <v>1</v>
      </c>
      <c r="B862" s="10">
        <v>43951</v>
      </c>
      <c r="C862" s="5">
        <v>34268</v>
      </c>
      <c r="D862" s="1">
        <f>LEN(VolumebyClient[[#This Row],[CLID]])</f>
        <v>7</v>
      </c>
      <c r="F862" s="1" t="str">
        <f>INDEX(GeobyClient[GEOID],MATCH(VolumebyClient[[#This Row],[CLID]],GeobyClient[Right],0))</f>
        <v>GEO1001</v>
      </c>
      <c r="G862" s="1" t="str">
        <f>VLOOKUP(VolumebyClient[[#This Row],[Index Match Region ID]],GEONames[[GEOID]:[GEO NAME]],2,FALSE)</f>
        <v>NAM</v>
      </c>
      <c r="H862" s="1" t="str">
        <f>"Q"&amp;ROUNDUP(MONTH(VolumebyClient[[#This Row],[Date]])/3,0)&amp;" "&amp;YEAR(VolumebyClient[[#This Row],[Date]])</f>
        <v>Q2 2020</v>
      </c>
      <c r="I862" s="1" t="str">
        <f>VLOOKUP(VolumebyClient[[#This Row],[Date]],Quarters[],3,TRUE)</f>
        <v>Q2 2020</v>
      </c>
    </row>
    <row r="863" spans="1:9" x14ac:dyDescent="0.2">
      <c r="A863" s="2" t="s">
        <v>1</v>
      </c>
      <c r="B863" s="10">
        <v>43982</v>
      </c>
      <c r="C863" s="5">
        <v>37380</v>
      </c>
      <c r="D863" s="1">
        <f>LEN(VolumebyClient[[#This Row],[CLID]])</f>
        <v>7</v>
      </c>
      <c r="F863" s="1" t="str">
        <f>INDEX(GeobyClient[GEOID],MATCH(VolumebyClient[[#This Row],[CLID]],GeobyClient[Right],0))</f>
        <v>GEO1001</v>
      </c>
      <c r="G863" s="1" t="str">
        <f>VLOOKUP(VolumebyClient[[#This Row],[Index Match Region ID]],GEONames[[GEOID]:[GEO NAME]],2,FALSE)</f>
        <v>NAM</v>
      </c>
      <c r="H863" s="1" t="str">
        <f>"Q"&amp;ROUNDUP(MONTH(VolumebyClient[[#This Row],[Date]])/3,0)&amp;" "&amp;YEAR(VolumebyClient[[#This Row],[Date]])</f>
        <v>Q2 2020</v>
      </c>
      <c r="I863" s="1" t="str">
        <f>VLOOKUP(VolumebyClient[[#This Row],[Date]],Quarters[],3,TRUE)</f>
        <v>Q2 2020</v>
      </c>
    </row>
    <row r="864" spans="1:9" x14ac:dyDescent="0.2">
      <c r="A864" s="2" t="s">
        <v>1</v>
      </c>
      <c r="B864" s="10">
        <v>44012</v>
      </c>
      <c r="C864" s="5">
        <v>21809</v>
      </c>
      <c r="D864" s="1">
        <f>LEN(VolumebyClient[[#This Row],[CLID]])</f>
        <v>7</v>
      </c>
      <c r="F864" s="1" t="str">
        <f>INDEX(GeobyClient[GEOID],MATCH(VolumebyClient[[#This Row],[CLID]],GeobyClient[Right],0))</f>
        <v>GEO1001</v>
      </c>
      <c r="G864" s="1" t="str">
        <f>VLOOKUP(VolumebyClient[[#This Row],[Index Match Region ID]],GEONames[[GEOID]:[GEO NAME]],2,FALSE)</f>
        <v>NAM</v>
      </c>
      <c r="H864" s="1" t="str">
        <f>"Q"&amp;ROUNDUP(MONTH(VolumebyClient[[#This Row],[Date]])/3,0)&amp;" "&amp;YEAR(VolumebyClient[[#This Row],[Date]])</f>
        <v>Q2 2020</v>
      </c>
      <c r="I864" s="1" t="str">
        <f>VLOOKUP(VolumebyClient[[#This Row],[Date]],Quarters[],3,TRUE)</f>
        <v>Q2 2020</v>
      </c>
    </row>
    <row r="865" spans="1:9" x14ac:dyDescent="0.2">
      <c r="A865" s="2" t="s">
        <v>1</v>
      </c>
      <c r="B865" s="10">
        <v>44043</v>
      </c>
      <c r="C865" s="5">
        <v>24920</v>
      </c>
      <c r="D865" s="1">
        <f>LEN(VolumebyClient[[#This Row],[CLID]])</f>
        <v>7</v>
      </c>
      <c r="F865" s="1" t="str">
        <f>INDEX(GeobyClient[GEOID],MATCH(VolumebyClient[[#This Row],[CLID]],GeobyClient[Right],0))</f>
        <v>GEO1001</v>
      </c>
      <c r="G865" s="1" t="str">
        <f>VLOOKUP(VolumebyClient[[#This Row],[Index Match Region ID]],GEONames[[GEOID]:[GEO NAME]],2,FALSE)</f>
        <v>NAM</v>
      </c>
      <c r="H865" s="1" t="str">
        <f>"Q"&amp;ROUNDUP(MONTH(VolumebyClient[[#This Row],[Date]])/3,0)&amp;" "&amp;YEAR(VolumebyClient[[#This Row],[Date]])</f>
        <v>Q3 2020</v>
      </c>
      <c r="I865" s="1" t="str">
        <f>VLOOKUP(VolumebyClient[[#This Row],[Date]],Quarters[],3,TRUE)</f>
        <v>Q3 2020</v>
      </c>
    </row>
    <row r="866" spans="1:9" x14ac:dyDescent="0.2">
      <c r="A866" s="2" t="s">
        <v>1</v>
      </c>
      <c r="B866" s="10">
        <v>44074</v>
      </c>
      <c r="C866" s="5">
        <v>15576</v>
      </c>
      <c r="D866" s="1">
        <f>LEN(VolumebyClient[[#This Row],[CLID]])</f>
        <v>7</v>
      </c>
      <c r="F866" s="1" t="str">
        <f>INDEX(GeobyClient[GEOID],MATCH(VolumebyClient[[#This Row],[CLID]],GeobyClient[Right],0))</f>
        <v>GEO1001</v>
      </c>
      <c r="G866" s="1" t="str">
        <f>VLOOKUP(VolumebyClient[[#This Row],[Index Match Region ID]],GEONames[[GEOID]:[GEO NAME]],2,FALSE)</f>
        <v>NAM</v>
      </c>
      <c r="H866" s="1" t="str">
        <f>"Q"&amp;ROUNDUP(MONTH(VolumebyClient[[#This Row],[Date]])/3,0)&amp;" "&amp;YEAR(VolumebyClient[[#This Row],[Date]])</f>
        <v>Q3 2020</v>
      </c>
      <c r="I866" s="1" t="str">
        <f>VLOOKUP(VolumebyClient[[#This Row],[Date]],Quarters[],3,TRUE)</f>
        <v>Q3 2020</v>
      </c>
    </row>
    <row r="867" spans="1:9" x14ac:dyDescent="0.2">
      <c r="A867" s="2" t="s">
        <v>1</v>
      </c>
      <c r="B867" s="10">
        <v>44104</v>
      </c>
      <c r="C867" s="5">
        <v>21809</v>
      </c>
      <c r="D867" s="1">
        <f>LEN(VolumebyClient[[#This Row],[CLID]])</f>
        <v>7</v>
      </c>
      <c r="F867" s="1" t="str">
        <f>INDEX(GeobyClient[GEOID],MATCH(VolumebyClient[[#This Row],[CLID]],GeobyClient[Right],0))</f>
        <v>GEO1001</v>
      </c>
      <c r="G867" s="1" t="str">
        <f>VLOOKUP(VolumebyClient[[#This Row],[Index Match Region ID]],GEONames[[GEOID]:[GEO NAME]],2,FALSE)</f>
        <v>NAM</v>
      </c>
      <c r="H867" s="1" t="str">
        <f>"Q"&amp;ROUNDUP(MONTH(VolumebyClient[[#This Row],[Date]])/3,0)&amp;" "&amp;YEAR(VolumebyClient[[#This Row],[Date]])</f>
        <v>Q3 2020</v>
      </c>
      <c r="I867" s="1" t="str">
        <f>VLOOKUP(VolumebyClient[[#This Row],[Date]],Quarters[],3,TRUE)</f>
        <v>Q3 2020</v>
      </c>
    </row>
    <row r="868" spans="1:9" x14ac:dyDescent="0.2">
      <c r="A868" s="2" t="s">
        <v>1</v>
      </c>
      <c r="B868" s="10">
        <v>44135</v>
      </c>
      <c r="C868" s="5">
        <v>18694</v>
      </c>
      <c r="D868" s="1">
        <f>LEN(VolumebyClient[[#This Row],[CLID]])</f>
        <v>7</v>
      </c>
      <c r="F868" s="1" t="str">
        <f>INDEX(GeobyClient[GEOID],MATCH(VolumebyClient[[#This Row],[CLID]],GeobyClient[Right],0))</f>
        <v>GEO1001</v>
      </c>
      <c r="G868" s="1" t="str">
        <f>VLOOKUP(VolumebyClient[[#This Row],[Index Match Region ID]],GEONames[[GEOID]:[GEO NAME]],2,FALSE)</f>
        <v>NAM</v>
      </c>
      <c r="H868" s="1" t="str">
        <f>"Q"&amp;ROUNDUP(MONTH(VolumebyClient[[#This Row],[Date]])/3,0)&amp;" "&amp;YEAR(VolumebyClient[[#This Row],[Date]])</f>
        <v>Q4 2020</v>
      </c>
      <c r="I868" s="1" t="str">
        <f>VLOOKUP(VolumebyClient[[#This Row],[Date]],Quarters[],3,TRUE)</f>
        <v>Q4 2020</v>
      </c>
    </row>
    <row r="869" spans="1:9" x14ac:dyDescent="0.2">
      <c r="A869" s="2" t="s">
        <v>1</v>
      </c>
      <c r="B869" s="10">
        <v>44165</v>
      </c>
      <c r="C869" s="5">
        <v>28037</v>
      </c>
      <c r="D869" s="1">
        <f>LEN(VolumebyClient[[#This Row],[CLID]])</f>
        <v>7</v>
      </c>
      <c r="F869" s="1" t="str">
        <f>INDEX(GeobyClient[GEOID],MATCH(VolumebyClient[[#This Row],[CLID]],GeobyClient[Right],0))</f>
        <v>GEO1001</v>
      </c>
      <c r="G869" s="1" t="str">
        <f>VLOOKUP(VolumebyClient[[#This Row],[Index Match Region ID]],GEONames[[GEOID]:[GEO NAME]],2,FALSE)</f>
        <v>NAM</v>
      </c>
      <c r="H869" s="1" t="str">
        <f>"Q"&amp;ROUNDUP(MONTH(VolumebyClient[[#This Row],[Date]])/3,0)&amp;" "&amp;YEAR(VolumebyClient[[#This Row],[Date]])</f>
        <v>Q4 2020</v>
      </c>
      <c r="I869" s="1" t="str">
        <f>VLOOKUP(VolumebyClient[[#This Row],[Date]],Quarters[],3,TRUE)</f>
        <v>Q4 2020</v>
      </c>
    </row>
    <row r="870" spans="1:9" x14ac:dyDescent="0.2">
      <c r="A870" s="2" t="s">
        <v>1</v>
      </c>
      <c r="B870" s="10">
        <v>44196</v>
      </c>
      <c r="C870" s="5">
        <v>21809</v>
      </c>
      <c r="D870" s="1">
        <f>LEN(VolumebyClient[[#This Row],[CLID]])</f>
        <v>7</v>
      </c>
      <c r="F870" s="1" t="str">
        <f>INDEX(GeobyClient[GEOID],MATCH(VolumebyClient[[#This Row],[CLID]],GeobyClient[Right],0))</f>
        <v>GEO1001</v>
      </c>
      <c r="G870" s="1" t="str">
        <f>VLOOKUP(VolumebyClient[[#This Row],[Index Match Region ID]],GEONames[[GEOID]:[GEO NAME]],2,FALSE)</f>
        <v>NAM</v>
      </c>
      <c r="H870" s="1" t="str">
        <f>"Q"&amp;ROUNDUP(MONTH(VolumebyClient[[#This Row],[Date]])/3,0)&amp;" "&amp;YEAR(VolumebyClient[[#This Row],[Date]])</f>
        <v>Q4 2020</v>
      </c>
      <c r="I870" s="1" t="str">
        <f>VLOOKUP(VolumebyClient[[#This Row],[Date]],Quarters[],3,TRUE)</f>
        <v>Q4 2020</v>
      </c>
    </row>
    <row r="871" spans="1:9" x14ac:dyDescent="0.2">
      <c r="A871" s="2" t="s">
        <v>1</v>
      </c>
      <c r="B871" s="10">
        <v>44377</v>
      </c>
      <c r="C871" s="5">
        <v>22463</v>
      </c>
      <c r="D871" s="1">
        <f>LEN(VolumebyClient[[#This Row],[CLID]])</f>
        <v>7</v>
      </c>
      <c r="F871" s="1" t="str">
        <f>INDEX(GeobyClient[GEOID],MATCH(VolumebyClient[[#This Row],[CLID]],GeobyClient[Right],0))</f>
        <v>GEO1001</v>
      </c>
      <c r="G871" s="1" t="str">
        <f>VLOOKUP(VolumebyClient[[#This Row],[Index Match Region ID]],GEONames[[GEOID]:[GEO NAME]],2,FALSE)</f>
        <v>NAM</v>
      </c>
      <c r="H871" s="1" t="str">
        <f>"Q"&amp;ROUNDUP(MONTH(VolumebyClient[[#This Row],[Date]])/3,0)&amp;" "&amp;YEAR(VolumebyClient[[#This Row],[Date]])</f>
        <v>Q2 2021</v>
      </c>
      <c r="I871" s="1" t="str">
        <f>VLOOKUP(VolumebyClient[[#This Row],[Date]],Quarters[],3,TRUE)</f>
        <v>Q2 2021</v>
      </c>
    </row>
    <row r="872" spans="1:9" x14ac:dyDescent="0.2">
      <c r="A872" s="2" t="s">
        <v>1</v>
      </c>
      <c r="B872" s="10">
        <v>44347</v>
      </c>
      <c r="C872" s="5">
        <v>38501</v>
      </c>
      <c r="D872" s="1">
        <f>LEN(VolumebyClient[[#This Row],[CLID]])</f>
        <v>7</v>
      </c>
      <c r="F872" s="1" t="str">
        <f>INDEX(GeobyClient[GEOID],MATCH(VolumebyClient[[#This Row],[CLID]],GeobyClient[Right],0))</f>
        <v>GEO1001</v>
      </c>
      <c r="G872" s="1" t="str">
        <f>VLOOKUP(VolumebyClient[[#This Row],[Index Match Region ID]],GEONames[[GEOID]:[GEO NAME]],2,FALSE)</f>
        <v>NAM</v>
      </c>
      <c r="H872" s="1" t="str">
        <f>"Q"&amp;ROUNDUP(MONTH(VolumebyClient[[#This Row],[Date]])/3,0)&amp;" "&amp;YEAR(VolumebyClient[[#This Row],[Date]])</f>
        <v>Q2 2021</v>
      </c>
      <c r="I872" s="1" t="str">
        <f>VLOOKUP(VolumebyClient[[#This Row],[Date]],Quarters[],3,TRUE)</f>
        <v>Q2 2021</v>
      </c>
    </row>
    <row r="873" spans="1:9" x14ac:dyDescent="0.2">
      <c r="A873" s="2" t="s">
        <v>1</v>
      </c>
      <c r="B873" s="10">
        <v>44316</v>
      </c>
      <c r="C873" s="5">
        <v>33923</v>
      </c>
      <c r="D873" s="1">
        <f>LEN(VolumebyClient[[#This Row],[CLID]])</f>
        <v>7</v>
      </c>
      <c r="F873" s="1" t="str">
        <f>INDEX(GeobyClient[GEOID],MATCH(VolumebyClient[[#This Row],[CLID]],GeobyClient[Right],0))</f>
        <v>GEO1001</v>
      </c>
      <c r="G873" s="1" t="str">
        <f>VLOOKUP(VolumebyClient[[#This Row],[Index Match Region ID]],GEONames[[GEOID]:[GEO NAME]],2,FALSE)</f>
        <v>NAM</v>
      </c>
      <c r="H873" s="1" t="str">
        <f>"Q"&amp;ROUNDUP(MONTH(VolumebyClient[[#This Row],[Date]])/3,0)&amp;" "&amp;YEAR(VolumebyClient[[#This Row],[Date]])</f>
        <v>Q2 2021</v>
      </c>
      <c r="I873" s="1" t="str">
        <f>VLOOKUP(VolumebyClient[[#This Row],[Date]],Quarters[],3,TRUE)</f>
        <v>Q2 2021</v>
      </c>
    </row>
    <row r="874" spans="1:9" x14ac:dyDescent="0.2">
      <c r="A874" s="2" t="s">
        <v>1</v>
      </c>
      <c r="B874" s="10">
        <v>44286</v>
      </c>
      <c r="C874" s="5">
        <v>35291</v>
      </c>
      <c r="D874" s="1">
        <f>LEN(VolumebyClient[[#This Row],[CLID]])</f>
        <v>7</v>
      </c>
      <c r="F874" s="1" t="str">
        <f>INDEX(GeobyClient[GEOID],MATCH(VolumebyClient[[#This Row],[CLID]],GeobyClient[Right],0))</f>
        <v>GEO1001</v>
      </c>
      <c r="G874" s="1" t="str">
        <f>VLOOKUP(VolumebyClient[[#This Row],[Index Match Region ID]],GEONames[[GEOID]:[GEO NAME]],2,FALSE)</f>
        <v>NAM</v>
      </c>
      <c r="H874" s="1" t="str">
        <f>"Q"&amp;ROUNDUP(MONTH(VolumebyClient[[#This Row],[Date]])/3,0)&amp;" "&amp;YEAR(VolumebyClient[[#This Row],[Date]])</f>
        <v>Q1 2021</v>
      </c>
      <c r="I874" s="1" t="str">
        <f>VLOOKUP(VolumebyClient[[#This Row],[Date]],Quarters[],3,TRUE)</f>
        <v>Q1 2021</v>
      </c>
    </row>
    <row r="875" spans="1:9" x14ac:dyDescent="0.2">
      <c r="A875" s="2" t="s">
        <v>1</v>
      </c>
      <c r="B875" s="10">
        <v>44255</v>
      </c>
      <c r="C875" s="5">
        <v>24798</v>
      </c>
      <c r="D875" s="1">
        <f>LEN(VolumebyClient[[#This Row],[CLID]])</f>
        <v>7</v>
      </c>
      <c r="F875" s="1" t="str">
        <f>INDEX(GeobyClient[GEOID],MATCH(VolumebyClient[[#This Row],[CLID]],GeobyClient[Right],0))</f>
        <v>GEO1001</v>
      </c>
      <c r="G875" s="1" t="str">
        <f>VLOOKUP(VolumebyClient[[#This Row],[Index Match Region ID]],GEONames[[GEOID]:[GEO NAME]],2,FALSE)</f>
        <v>NAM</v>
      </c>
      <c r="H875" s="1" t="str">
        <f>"Q"&amp;ROUNDUP(MONTH(VolumebyClient[[#This Row],[Date]])/3,0)&amp;" "&amp;YEAR(VolumebyClient[[#This Row],[Date]])</f>
        <v>Q1 2021</v>
      </c>
      <c r="I875" s="1" t="str">
        <f>VLOOKUP(VolumebyClient[[#This Row],[Date]],Quarters[],3,TRUE)</f>
        <v>Q1 2021</v>
      </c>
    </row>
    <row r="876" spans="1:9" x14ac:dyDescent="0.2">
      <c r="A876" s="2" t="s">
        <v>1</v>
      </c>
      <c r="B876" s="10">
        <v>44227</v>
      </c>
      <c r="C876" s="5">
        <v>29157</v>
      </c>
      <c r="D876" s="1">
        <f>LEN(VolumebyClient[[#This Row],[CLID]])</f>
        <v>7</v>
      </c>
      <c r="F876" s="1" t="str">
        <f>INDEX(GeobyClient[GEOID],MATCH(VolumebyClient[[#This Row],[CLID]],GeobyClient[Right],0))</f>
        <v>GEO1001</v>
      </c>
      <c r="G876" s="1" t="str">
        <f>VLOOKUP(VolumebyClient[[#This Row],[Index Match Region ID]],GEONames[[GEOID]:[GEO NAME]],2,FALSE)</f>
        <v>NAM</v>
      </c>
      <c r="H876" s="1" t="str">
        <f>"Q"&amp;ROUNDUP(MONTH(VolumebyClient[[#This Row],[Date]])/3,0)&amp;" "&amp;YEAR(VolumebyClient[[#This Row],[Date]])</f>
        <v>Q1 2021</v>
      </c>
      <c r="I876" s="1" t="str">
        <f>VLOOKUP(VolumebyClient[[#This Row],[Date]],Quarters[],3,TRUE)</f>
        <v>Q1 2021</v>
      </c>
    </row>
    <row r="877" spans="1:9" x14ac:dyDescent="0.2">
      <c r="A877" s="2" t="s">
        <v>5</v>
      </c>
      <c r="B877" s="10">
        <v>43861</v>
      </c>
      <c r="C877" s="5">
        <v>142</v>
      </c>
      <c r="D877" s="1">
        <f>LEN(VolumebyClient[[#This Row],[CLID]])</f>
        <v>7</v>
      </c>
      <c r="F877" s="1" t="str">
        <f>INDEX(GeobyClient[GEOID],MATCH(VolumebyClient[[#This Row],[CLID]],GeobyClient[Right],0))</f>
        <v>GEO1002</v>
      </c>
      <c r="G877" s="1" t="str">
        <f>VLOOKUP(VolumebyClient[[#This Row],[Index Match Region ID]],GEONames[[GEOID]:[GEO NAME]],2,FALSE)</f>
        <v>APAC</v>
      </c>
      <c r="H877" s="1" t="str">
        <f>"Q"&amp;ROUNDUP(MONTH(VolumebyClient[[#This Row],[Date]])/3,0)&amp;" "&amp;YEAR(VolumebyClient[[#This Row],[Date]])</f>
        <v>Q1 2020</v>
      </c>
      <c r="I877" s="1" t="str">
        <f>VLOOKUP(VolumebyClient[[#This Row],[Date]],Quarters[],3,TRUE)</f>
        <v>Q1 2020</v>
      </c>
    </row>
    <row r="878" spans="1:9" x14ac:dyDescent="0.2">
      <c r="A878" s="2" t="s">
        <v>5</v>
      </c>
      <c r="B878" s="10">
        <v>43890</v>
      </c>
      <c r="C878" s="5">
        <v>125</v>
      </c>
      <c r="D878" s="1">
        <f>LEN(VolumebyClient[[#This Row],[CLID]])</f>
        <v>7</v>
      </c>
      <c r="F878" s="1" t="str">
        <f>INDEX(GeobyClient[GEOID],MATCH(VolumebyClient[[#This Row],[CLID]],GeobyClient[Right],0))</f>
        <v>GEO1002</v>
      </c>
      <c r="G878" s="1" t="str">
        <f>VLOOKUP(VolumebyClient[[#This Row],[Index Match Region ID]],GEONames[[GEOID]:[GEO NAME]],2,FALSE)</f>
        <v>APAC</v>
      </c>
      <c r="H878" s="1" t="str">
        <f>"Q"&amp;ROUNDUP(MONTH(VolumebyClient[[#This Row],[Date]])/3,0)&amp;" "&amp;YEAR(VolumebyClient[[#This Row],[Date]])</f>
        <v>Q1 2020</v>
      </c>
      <c r="I878" s="1" t="str">
        <f>VLOOKUP(VolumebyClient[[#This Row],[Date]],Quarters[],3,TRUE)</f>
        <v>Q1 2020</v>
      </c>
    </row>
    <row r="879" spans="1:9" x14ac:dyDescent="0.2">
      <c r="A879" s="2" t="s">
        <v>5</v>
      </c>
      <c r="B879" s="10">
        <v>43921</v>
      </c>
      <c r="C879" s="5">
        <v>171</v>
      </c>
      <c r="D879" s="1">
        <f>LEN(VolumebyClient[[#This Row],[CLID]])</f>
        <v>7</v>
      </c>
      <c r="F879" s="1" t="str">
        <f>INDEX(GeobyClient[GEOID],MATCH(VolumebyClient[[#This Row],[CLID]],GeobyClient[Right],0))</f>
        <v>GEO1002</v>
      </c>
      <c r="G879" s="1" t="str">
        <f>VLOOKUP(VolumebyClient[[#This Row],[Index Match Region ID]],GEONames[[GEOID]:[GEO NAME]],2,FALSE)</f>
        <v>APAC</v>
      </c>
      <c r="H879" s="1" t="str">
        <f>"Q"&amp;ROUNDUP(MONTH(VolumebyClient[[#This Row],[Date]])/3,0)&amp;" "&amp;YEAR(VolumebyClient[[#This Row],[Date]])</f>
        <v>Q1 2020</v>
      </c>
      <c r="I879" s="1" t="str">
        <f>VLOOKUP(VolumebyClient[[#This Row],[Date]],Quarters[],3,TRUE)</f>
        <v>Q1 2020</v>
      </c>
    </row>
    <row r="880" spans="1:9" x14ac:dyDescent="0.2">
      <c r="A880" s="2" t="s">
        <v>5</v>
      </c>
      <c r="B880" s="10">
        <v>43951</v>
      </c>
      <c r="C880" s="5">
        <v>168</v>
      </c>
      <c r="D880" s="1">
        <f>LEN(VolumebyClient[[#This Row],[CLID]])</f>
        <v>7</v>
      </c>
      <c r="F880" s="1" t="str">
        <f>INDEX(GeobyClient[GEOID],MATCH(VolumebyClient[[#This Row],[CLID]],GeobyClient[Right],0))</f>
        <v>GEO1002</v>
      </c>
      <c r="G880" s="1" t="str">
        <f>VLOOKUP(VolumebyClient[[#This Row],[Index Match Region ID]],GEONames[[GEOID]:[GEO NAME]],2,FALSE)</f>
        <v>APAC</v>
      </c>
      <c r="H880" s="1" t="str">
        <f>"Q"&amp;ROUNDUP(MONTH(VolumebyClient[[#This Row],[Date]])/3,0)&amp;" "&amp;YEAR(VolumebyClient[[#This Row],[Date]])</f>
        <v>Q2 2020</v>
      </c>
      <c r="I880" s="1" t="str">
        <f>VLOOKUP(VolumebyClient[[#This Row],[Date]],Quarters[],3,TRUE)</f>
        <v>Q2 2020</v>
      </c>
    </row>
    <row r="881" spans="1:9" x14ac:dyDescent="0.2">
      <c r="A881" s="2" t="s">
        <v>5</v>
      </c>
      <c r="B881" s="10">
        <v>43982</v>
      </c>
      <c r="C881" s="5">
        <v>183</v>
      </c>
      <c r="D881" s="1">
        <f>LEN(VolumebyClient[[#This Row],[CLID]])</f>
        <v>7</v>
      </c>
      <c r="F881" s="1" t="str">
        <f>INDEX(GeobyClient[GEOID],MATCH(VolumebyClient[[#This Row],[CLID]],GeobyClient[Right],0))</f>
        <v>GEO1002</v>
      </c>
      <c r="G881" s="1" t="str">
        <f>VLOOKUP(VolumebyClient[[#This Row],[Index Match Region ID]],GEONames[[GEOID]:[GEO NAME]],2,FALSE)</f>
        <v>APAC</v>
      </c>
      <c r="H881" s="1" t="str">
        <f>"Q"&amp;ROUNDUP(MONTH(VolumebyClient[[#This Row],[Date]])/3,0)&amp;" "&amp;YEAR(VolumebyClient[[#This Row],[Date]])</f>
        <v>Q2 2020</v>
      </c>
      <c r="I881" s="1" t="str">
        <f>VLOOKUP(VolumebyClient[[#This Row],[Date]],Quarters[],3,TRUE)</f>
        <v>Q2 2020</v>
      </c>
    </row>
    <row r="882" spans="1:9" x14ac:dyDescent="0.2">
      <c r="A882" s="2" t="s">
        <v>5</v>
      </c>
      <c r="B882" s="10">
        <v>44012</v>
      </c>
      <c r="C882" s="5">
        <v>109</v>
      </c>
      <c r="D882" s="1">
        <f>LEN(VolumebyClient[[#This Row],[CLID]])</f>
        <v>7</v>
      </c>
      <c r="F882" s="1" t="str">
        <f>INDEX(GeobyClient[GEOID],MATCH(VolumebyClient[[#This Row],[CLID]],GeobyClient[Right],0))</f>
        <v>GEO1002</v>
      </c>
      <c r="G882" s="1" t="str">
        <f>VLOOKUP(VolumebyClient[[#This Row],[Index Match Region ID]],GEONames[[GEOID]:[GEO NAME]],2,FALSE)</f>
        <v>APAC</v>
      </c>
      <c r="H882" s="1" t="str">
        <f>"Q"&amp;ROUNDUP(MONTH(VolumebyClient[[#This Row],[Date]])/3,0)&amp;" "&amp;YEAR(VolumebyClient[[#This Row],[Date]])</f>
        <v>Q2 2020</v>
      </c>
      <c r="I882" s="1" t="str">
        <f>VLOOKUP(VolumebyClient[[#This Row],[Date]],Quarters[],3,TRUE)</f>
        <v>Q2 2020</v>
      </c>
    </row>
    <row r="883" spans="1:9" x14ac:dyDescent="0.2">
      <c r="A883" s="2" t="s">
        <v>5</v>
      </c>
      <c r="B883" s="10">
        <v>44043</v>
      </c>
      <c r="C883" s="5">
        <v>125</v>
      </c>
      <c r="D883" s="1">
        <f>LEN(VolumebyClient[[#This Row],[CLID]])</f>
        <v>7</v>
      </c>
      <c r="F883" s="1" t="str">
        <f>INDEX(GeobyClient[GEOID],MATCH(VolumebyClient[[#This Row],[CLID]],GeobyClient[Right],0))</f>
        <v>GEO1002</v>
      </c>
      <c r="G883" s="1" t="str">
        <f>VLOOKUP(VolumebyClient[[#This Row],[Index Match Region ID]],GEONames[[GEOID]:[GEO NAME]],2,FALSE)</f>
        <v>APAC</v>
      </c>
      <c r="H883" s="1" t="str">
        <f>"Q"&amp;ROUNDUP(MONTH(VolumebyClient[[#This Row],[Date]])/3,0)&amp;" "&amp;YEAR(VolumebyClient[[#This Row],[Date]])</f>
        <v>Q3 2020</v>
      </c>
      <c r="I883" s="1" t="str">
        <f>VLOOKUP(VolumebyClient[[#This Row],[Date]],Quarters[],3,TRUE)</f>
        <v>Q3 2020</v>
      </c>
    </row>
    <row r="884" spans="1:9" x14ac:dyDescent="0.2">
      <c r="A884" s="2" t="s">
        <v>5</v>
      </c>
      <c r="B884" s="10">
        <v>44074</v>
      </c>
      <c r="C884" s="5">
        <v>80</v>
      </c>
      <c r="D884" s="1">
        <f>LEN(VolumebyClient[[#This Row],[CLID]])</f>
        <v>7</v>
      </c>
      <c r="F884" s="1" t="str">
        <f>INDEX(GeobyClient[GEOID],MATCH(VolumebyClient[[#This Row],[CLID]],GeobyClient[Right],0))</f>
        <v>GEO1002</v>
      </c>
      <c r="G884" s="1" t="str">
        <f>VLOOKUP(VolumebyClient[[#This Row],[Index Match Region ID]],GEONames[[GEOID]:[GEO NAME]],2,FALSE)</f>
        <v>APAC</v>
      </c>
      <c r="H884" s="1" t="str">
        <f>"Q"&amp;ROUNDUP(MONTH(VolumebyClient[[#This Row],[Date]])/3,0)&amp;" "&amp;YEAR(VolumebyClient[[#This Row],[Date]])</f>
        <v>Q3 2020</v>
      </c>
      <c r="I884" s="1" t="str">
        <f>VLOOKUP(VolumebyClient[[#This Row],[Date]],Quarters[],3,TRUE)</f>
        <v>Q3 2020</v>
      </c>
    </row>
    <row r="885" spans="1:9" x14ac:dyDescent="0.2">
      <c r="A885" s="2" t="s">
        <v>5</v>
      </c>
      <c r="B885" s="10">
        <v>44104</v>
      </c>
      <c r="C885" s="5">
        <v>111</v>
      </c>
      <c r="D885" s="1">
        <f>LEN(VolumebyClient[[#This Row],[CLID]])</f>
        <v>7</v>
      </c>
      <c r="F885" s="1" t="str">
        <f>INDEX(GeobyClient[GEOID],MATCH(VolumebyClient[[#This Row],[CLID]],GeobyClient[Right],0))</f>
        <v>GEO1002</v>
      </c>
      <c r="G885" s="1" t="str">
        <f>VLOOKUP(VolumebyClient[[#This Row],[Index Match Region ID]],GEONames[[GEOID]:[GEO NAME]],2,FALSE)</f>
        <v>APAC</v>
      </c>
      <c r="H885" s="1" t="str">
        <f>"Q"&amp;ROUNDUP(MONTH(VolumebyClient[[#This Row],[Date]])/3,0)&amp;" "&amp;YEAR(VolumebyClient[[#This Row],[Date]])</f>
        <v>Q3 2020</v>
      </c>
      <c r="I885" s="1" t="str">
        <f>VLOOKUP(VolumebyClient[[#This Row],[Date]],Quarters[],3,TRUE)</f>
        <v>Q3 2020</v>
      </c>
    </row>
    <row r="886" spans="1:9" x14ac:dyDescent="0.2">
      <c r="A886" s="2" t="s">
        <v>5</v>
      </c>
      <c r="B886" s="10">
        <v>44135</v>
      </c>
      <c r="C886" s="5">
        <v>96</v>
      </c>
      <c r="D886" s="1">
        <f>LEN(VolumebyClient[[#This Row],[CLID]])</f>
        <v>7</v>
      </c>
      <c r="F886" s="1" t="str">
        <f>INDEX(GeobyClient[GEOID],MATCH(VolumebyClient[[#This Row],[CLID]],GeobyClient[Right],0))</f>
        <v>GEO1002</v>
      </c>
      <c r="G886" s="1" t="str">
        <f>VLOOKUP(VolumebyClient[[#This Row],[Index Match Region ID]],GEONames[[GEOID]:[GEO NAME]],2,FALSE)</f>
        <v>APAC</v>
      </c>
      <c r="H886" s="1" t="str">
        <f>"Q"&amp;ROUNDUP(MONTH(VolumebyClient[[#This Row],[Date]])/3,0)&amp;" "&amp;YEAR(VolumebyClient[[#This Row],[Date]])</f>
        <v>Q4 2020</v>
      </c>
      <c r="I886" s="1" t="str">
        <f>VLOOKUP(VolumebyClient[[#This Row],[Date]],Quarters[],3,TRUE)</f>
        <v>Q4 2020</v>
      </c>
    </row>
    <row r="887" spans="1:9" x14ac:dyDescent="0.2">
      <c r="A887" s="2" t="s">
        <v>5</v>
      </c>
      <c r="B887" s="10">
        <v>44165</v>
      </c>
      <c r="C887" s="5">
        <v>136</v>
      </c>
      <c r="D887" s="1">
        <f>LEN(VolumebyClient[[#This Row],[CLID]])</f>
        <v>7</v>
      </c>
      <c r="F887" s="1" t="str">
        <f>INDEX(GeobyClient[GEOID],MATCH(VolumebyClient[[#This Row],[CLID]],GeobyClient[Right],0))</f>
        <v>GEO1002</v>
      </c>
      <c r="G887" s="1" t="str">
        <f>VLOOKUP(VolumebyClient[[#This Row],[Index Match Region ID]],GEONames[[GEOID]:[GEO NAME]],2,FALSE)</f>
        <v>APAC</v>
      </c>
      <c r="H887" s="1" t="str">
        <f>"Q"&amp;ROUNDUP(MONTH(VolumebyClient[[#This Row],[Date]])/3,0)&amp;" "&amp;YEAR(VolumebyClient[[#This Row],[Date]])</f>
        <v>Q4 2020</v>
      </c>
      <c r="I887" s="1" t="str">
        <f>VLOOKUP(VolumebyClient[[#This Row],[Date]],Quarters[],3,TRUE)</f>
        <v>Q4 2020</v>
      </c>
    </row>
    <row r="888" spans="1:9" x14ac:dyDescent="0.2">
      <c r="A888" s="2" t="s">
        <v>5</v>
      </c>
      <c r="B888" s="10">
        <v>44196</v>
      </c>
      <c r="C888" s="5">
        <v>107</v>
      </c>
      <c r="D888" s="1">
        <f>LEN(VolumebyClient[[#This Row],[CLID]])</f>
        <v>7</v>
      </c>
      <c r="F888" s="1" t="str">
        <f>INDEX(GeobyClient[GEOID],MATCH(VolumebyClient[[#This Row],[CLID]],GeobyClient[Right],0))</f>
        <v>GEO1002</v>
      </c>
      <c r="G888" s="1" t="str">
        <f>VLOOKUP(VolumebyClient[[#This Row],[Index Match Region ID]],GEONames[[GEOID]:[GEO NAME]],2,FALSE)</f>
        <v>APAC</v>
      </c>
      <c r="H888" s="1" t="str">
        <f>"Q"&amp;ROUNDUP(MONTH(VolumebyClient[[#This Row],[Date]])/3,0)&amp;" "&amp;YEAR(VolumebyClient[[#This Row],[Date]])</f>
        <v>Q4 2020</v>
      </c>
      <c r="I888" s="1" t="str">
        <f>VLOOKUP(VolumebyClient[[#This Row],[Date]],Quarters[],3,TRUE)</f>
        <v>Q4 2020</v>
      </c>
    </row>
    <row r="889" spans="1:9" x14ac:dyDescent="0.2">
      <c r="A889" s="2" t="s">
        <v>5</v>
      </c>
      <c r="B889" s="10">
        <v>44255</v>
      </c>
      <c r="C889" s="5">
        <v>126</v>
      </c>
      <c r="D889" s="1">
        <f>LEN(VolumebyClient[[#This Row],[CLID]])</f>
        <v>7</v>
      </c>
      <c r="F889" s="1" t="str">
        <f>INDEX(GeobyClient[GEOID],MATCH(VolumebyClient[[#This Row],[CLID]],GeobyClient[Right],0))</f>
        <v>GEO1002</v>
      </c>
      <c r="G889" s="1" t="str">
        <f>VLOOKUP(VolumebyClient[[#This Row],[Index Match Region ID]],GEONames[[GEOID]:[GEO NAME]],2,FALSE)</f>
        <v>APAC</v>
      </c>
      <c r="H889" s="1" t="str">
        <f>"Q"&amp;ROUNDUP(MONTH(VolumebyClient[[#This Row],[Date]])/3,0)&amp;" "&amp;YEAR(VolumebyClient[[#This Row],[Date]])</f>
        <v>Q1 2021</v>
      </c>
      <c r="I889" s="1" t="str">
        <f>VLOOKUP(VolumebyClient[[#This Row],[Date]],Quarters[],3,TRUE)</f>
        <v>Q1 2021</v>
      </c>
    </row>
    <row r="890" spans="1:9" x14ac:dyDescent="0.2">
      <c r="A890" s="2" t="s">
        <v>5</v>
      </c>
      <c r="B890" s="10">
        <v>44227</v>
      </c>
      <c r="C890" s="5">
        <v>140</v>
      </c>
      <c r="D890" s="1">
        <f>LEN(VolumebyClient[[#This Row],[CLID]])</f>
        <v>7</v>
      </c>
      <c r="F890" s="1" t="str">
        <f>INDEX(GeobyClient[GEOID],MATCH(VolumebyClient[[#This Row],[CLID]],GeobyClient[Right],0))</f>
        <v>GEO1002</v>
      </c>
      <c r="G890" s="1" t="str">
        <f>VLOOKUP(VolumebyClient[[#This Row],[Index Match Region ID]],GEONames[[GEOID]:[GEO NAME]],2,FALSE)</f>
        <v>APAC</v>
      </c>
      <c r="H890" s="1" t="str">
        <f>"Q"&amp;ROUNDUP(MONTH(VolumebyClient[[#This Row],[Date]])/3,0)&amp;" "&amp;YEAR(VolumebyClient[[#This Row],[Date]])</f>
        <v>Q1 2021</v>
      </c>
      <c r="I890" s="1" t="str">
        <f>VLOOKUP(VolumebyClient[[#This Row],[Date]],Quarters[],3,TRUE)</f>
        <v>Q1 2021</v>
      </c>
    </row>
    <row r="891" spans="1:9" x14ac:dyDescent="0.2">
      <c r="A891" s="2" t="s">
        <v>9</v>
      </c>
      <c r="B891" s="10">
        <v>43861</v>
      </c>
      <c r="C891" s="5">
        <v>220</v>
      </c>
      <c r="D891" s="1">
        <f>LEN(VolumebyClient[[#This Row],[CLID]])</f>
        <v>7</v>
      </c>
      <c r="F891" s="1" t="str">
        <f>INDEX(GeobyClient[GEOID],MATCH(VolumebyClient[[#This Row],[CLID]],GeobyClient[Right],0))</f>
        <v>GEO1002</v>
      </c>
      <c r="G891" s="1" t="str">
        <f>VLOOKUP(VolumebyClient[[#This Row],[Index Match Region ID]],GEONames[[GEOID]:[GEO NAME]],2,FALSE)</f>
        <v>APAC</v>
      </c>
      <c r="H891" s="1" t="str">
        <f>"Q"&amp;ROUNDUP(MONTH(VolumebyClient[[#This Row],[Date]])/3,0)&amp;" "&amp;YEAR(VolumebyClient[[#This Row],[Date]])</f>
        <v>Q1 2020</v>
      </c>
      <c r="I891" s="1" t="str">
        <f>VLOOKUP(VolumebyClient[[#This Row],[Date]],Quarters[],3,TRUE)</f>
        <v>Q1 2020</v>
      </c>
    </row>
    <row r="892" spans="1:9" x14ac:dyDescent="0.2">
      <c r="A892" s="2" t="s">
        <v>9</v>
      </c>
      <c r="B892" s="10">
        <v>43890</v>
      </c>
      <c r="C892" s="5">
        <v>219</v>
      </c>
      <c r="D892" s="1">
        <f>LEN(VolumebyClient[[#This Row],[CLID]])</f>
        <v>7</v>
      </c>
      <c r="F892" s="1" t="str">
        <f>INDEX(GeobyClient[GEOID],MATCH(VolumebyClient[[#This Row],[CLID]],GeobyClient[Right],0))</f>
        <v>GEO1002</v>
      </c>
      <c r="G892" s="1" t="str">
        <f>VLOOKUP(VolumebyClient[[#This Row],[Index Match Region ID]],GEONames[[GEOID]:[GEO NAME]],2,FALSE)</f>
        <v>APAC</v>
      </c>
      <c r="H892" s="1" t="str">
        <f>"Q"&amp;ROUNDUP(MONTH(VolumebyClient[[#This Row],[Date]])/3,0)&amp;" "&amp;YEAR(VolumebyClient[[#This Row],[Date]])</f>
        <v>Q1 2020</v>
      </c>
      <c r="I892" s="1" t="str">
        <f>VLOOKUP(VolumebyClient[[#This Row],[Date]],Quarters[],3,TRUE)</f>
        <v>Q1 2020</v>
      </c>
    </row>
    <row r="893" spans="1:9" x14ac:dyDescent="0.2">
      <c r="A893" s="2" t="s">
        <v>9</v>
      </c>
      <c r="B893" s="10">
        <v>43921</v>
      </c>
      <c r="C893" s="5">
        <v>266</v>
      </c>
      <c r="D893" s="1">
        <f>LEN(VolumebyClient[[#This Row],[CLID]])</f>
        <v>7</v>
      </c>
      <c r="F893" s="1" t="str">
        <f>INDEX(GeobyClient[GEOID],MATCH(VolumebyClient[[#This Row],[CLID]],GeobyClient[Right],0))</f>
        <v>GEO1002</v>
      </c>
      <c r="G893" s="1" t="str">
        <f>VLOOKUP(VolumebyClient[[#This Row],[Index Match Region ID]],GEONames[[GEOID]:[GEO NAME]],2,FALSE)</f>
        <v>APAC</v>
      </c>
      <c r="H893" s="1" t="str">
        <f>"Q"&amp;ROUNDUP(MONTH(VolumebyClient[[#This Row],[Date]])/3,0)&amp;" "&amp;YEAR(VolumebyClient[[#This Row],[Date]])</f>
        <v>Q1 2020</v>
      </c>
      <c r="I893" s="1" t="str">
        <f>VLOOKUP(VolumebyClient[[#This Row],[Date]],Quarters[],3,TRUE)</f>
        <v>Q1 2020</v>
      </c>
    </row>
    <row r="894" spans="1:9" x14ac:dyDescent="0.2">
      <c r="A894" s="2" t="s">
        <v>9</v>
      </c>
      <c r="B894" s="10">
        <v>43951</v>
      </c>
      <c r="C894" s="5">
        <v>294</v>
      </c>
      <c r="D894" s="1">
        <f>LEN(VolumebyClient[[#This Row],[CLID]])</f>
        <v>7</v>
      </c>
      <c r="F894" s="1" t="str">
        <f>INDEX(GeobyClient[GEOID],MATCH(VolumebyClient[[#This Row],[CLID]],GeobyClient[Right],0))</f>
        <v>GEO1002</v>
      </c>
      <c r="G894" s="1" t="str">
        <f>VLOOKUP(VolumebyClient[[#This Row],[Index Match Region ID]],GEONames[[GEOID]:[GEO NAME]],2,FALSE)</f>
        <v>APAC</v>
      </c>
      <c r="H894" s="1" t="str">
        <f>"Q"&amp;ROUNDUP(MONTH(VolumebyClient[[#This Row],[Date]])/3,0)&amp;" "&amp;YEAR(VolumebyClient[[#This Row],[Date]])</f>
        <v>Q2 2020</v>
      </c>
      <c r="I894" s="1" t="str">
        <f>VLOOKUP(VolumebyClient[[#This Row],[Date]],Quarters[],3,TRUE)</f>
        <v>Q2 2020</v>
      </c>
    </row>
    <row r="895" spans="1:9" x14ac:dyDescent="0.2">
      <c r="A895" s="2" t="s">
        <v>9</v>
      </c>
      <c r="B895" s="10">
        <v>43982</v>
      </c>
      <c r="C895" s="5">
        <v>295</v>
      </c>
      <c r="D895" s="1">
        <f>LEN(VolumebyClient[[#This Row],[CLID]])</f>
        <v>7</v>
      </c>
      <c r="F895" s="1" t="str">
        <f>INDEX(GeobyClient[GEOID],MATCH(VolumebyClient[[#This Row],[CLID]],GeobyClient[Right],0))</f>
        <v>GEO1002</v>
      </c>
      <c r="G895" s="1" t="str">
        <f>VLOOKUP(VolumebyClient[[#This Row],[Index Match Region ID]],GEONames[[GEOID]:[GEO NAME]],2,FALSE)</f>
        <v>APAC</v>
      </c>
      <c r="H895" s="1" t="str">
        <f>"Q"&amp;ROUNDUP(MONTH(VolumebyClient[[#This Row],[Date]])/3,0)&amp;" "&amp;YEAR(VolumebyClient[[#This Row],[Date]])</f>
        <v>Q2 2020</v>
      </c>
      <c r="I895" s="1" t="str">
        <f>VLOOKUP(VolumebyClient[[#This Row],[Date]],Quarters[],3,TRUE)</f>
        <v>Q2 2020</v>
      </c>
    </row>
    <row r="896" spans="1:9" x14ac:dyDescent="0.2">
      <c r="A896" s="2" t="s">
        <v>9</v>
      </c>
      <c r="B896" s="10">
        <v>44012</v>
      </c>
      <c r="C896" s="5">
        <v>193</v>
      </c>
      <c r="D896" s="1">
        <f>LEN(VolumebyClient[[#This Row],[CLID]])</f>
        <v>7</v>
      </c>
      <c r="F896" s="1" t="str">
        <f>INDEX(GeobyClient[GEOID],MATCH(VolumebyClient[[#This Row],[CLID]],GeobyClient[Right],0))</f>
        <v>GEO1002</v>
      </c>
      <c r="G896" s="1" t="str">
        <f>VLOOKUP(VolumebyClient[[#This Row],[Index Match Region ID]],GEONames[[GEOID]:[GEO NAME]],2,FALSE)</f>
        <v>APAC</v>
      </c>
      <c r="H896" s="1" t="str">
        <f>"Q"&amp;ROUNDUP(MONTH(VolumebyClient[[#This Row],[Date]])/3,0)&amp;" "&amp;YEAR(VolumebyClient[[#This Row],[Date]])</f>
        <v>Q2 2020</v>
      </c>
      <c r="I896" s="1" t="str">
        <f>VLOOKUP(VolumebyClient[[#This Row],[Date]],Quarters[],3,TRUE)</f>
        <v>Q2 2020</v>
      </c>
    </row>
    <row r="897" spans="1:9" x14ac:dyDescent="0.2">
      <c r="A897" s="2" t="s">
        <v>9</v>
      </c>
      <c r="B897" s="10">
        <v>44043</v>
      </c>
      <c r="C897" s="5">
        <v>190</v>
      </c>
      <c r="D897" s="1">
        <f>LEN(VolumebyClient[[#This Row],[CLID]])</f>
        <v>7</v>
      </c>
      <c r="F897" s="1" t="str">
        <f>INDEX(GeobyClient[GEOID],MATCH(VolumebyClient[[#This Row],[CLID]],GeobyClient[Right],0))</f>
        <v>GEO1002</v>
      </c>
      <c r="G897" s="1" t="str">
        <f>VLOOKUP(VolumebyClient[[#This Row],[Index Match Region ID]],GEONames[[GEOID]:[GEO NAME]],2,FALSE)</f>
        <v>APAC</v>
      </c>
      <c r="H897" s="1" t="str">
        <f>"Q"&amp;ROUNDUP(MONTH(VolumebyClient[[#This Row],[Date]])/3,0)&amp;" "&amp;YEAR(VolumebyClient[[#This Row],[Date]])</f>
        <v>Q3 2020</v>
      </c>
      <c r="I897" s="1" t="str">
        <f>VLOOKUP(VolumebyClient[[#This Row],[Date]],Quarters[],3,TRUE)</f>
        <v>Q3 2020</v>
      </c>
    </row>
    <row r="898" spans="1:9" x14ac:dyDescent="0.2">
      <c r="A898" s="2" t="s">
        <v>9</v>
      </c>
      <c r="B898" s="10">
        <v>44074</v>
      </c>
      <c r="C898" s="5">
        <v>143</v>
      </c>
      <c r="D898" s="1">
        <f>LEN(VolumebyClient[[#This Row],[CLID]])</f>
        <v>7</v>
      </c>
      <c r="F898" s="1" t="str">
        <f>INDEX(GeobyClient[GEOID],MATCH(VolumebyClient[[#This Row],[CLID]],GeobyClient[Right],0))</f>
        <v>GEO1002</v>
      </c>
      <c r="G898" s="1" t="str">
        <f>VLOOKUP(VolumebyClient[[#This Row],[Index Match Region ID]],GEONames[[GEOID]:[GEO NAME]],2,FALSE)</f>
        <v>APAC</v>
      </c>
      <c r="H898" s="1" t="str">
        <f>"Q"&amp;ROUNDUP(MONTH(VolumebyClient[[#This Row],[Date]])/3,0)&amp;" "&amp;YEAR(VolumebyClient[[#This Row],[Date]])</f>
        <v>Q3 2020</v>
      </c>
      <c r="I898" s="1" t="str">
        <f>VLOOKUP(VolumebyClient[[#This Row],[Date]],Quarters[],3,TRUE)</f>
        <v>Q3 2020</v>
      </c>
    </row>
    <row r="899" spans="1:9" x14ac:dyDescent="0.2">
      <c r="A899" s="2" t="s">
        <v>9</v>
      </c>
      <c r="B899" s="10">
        <v>44104</v>
      </c>
      <c r="C899" s="5">
        <v>170</v>
      </c>
      <c r="D899" s="1">
        <f>LEN(VolumebyClient[[#This Row],[CLID]])</f>
        <v>7</v>
      </c>
      <c r="F899" s="1" t="str">
        <f>INDEX(GeobyClient[GEOID],MATCH(VolumebyClient[[#This Row],[CLID]],GeobyClient[Right],0))</f>
        <v>GEO1002</v>
      </c>
      <c r="G899" s="1" t="str">
        <f>VLOOKUP(VolumebyClient[[#This Row],[Index Match Region ID]],GEONames[[GEOID]:[GEO NAME]],2,FALSE)</f>
        <v>APAC</v>
      </c>
      <c r="H899" s="1" t="str">
        <f>"Q"&amp;ROUNDUP(MONTH(VolumebyClient[[#This Row],[Date]])/3,0)&amp;" "&amp;YEAR(VolumebyClient[[#This Row],[Date]])</f>
        <v>Q3 2020</v>
      </c>
      <c r="I899" s="1" t="str">
        <f>VLOOKUP(VolumebyClient[[#This Row],[Date]],Quarters[],3,TRUE)</f>
        <v>Q3 2020</v>
      </c>
    </row>
    <row r="900" spans="1:9" x14ac:dyDescent="0.2">
      <c r="A900" s="2" t="s">
        <v>9</v>
      </c>
      <c r="B900" s="10">
        <v>44135</v>
      </c>
      <c r="C900" s="5">
        <v>170</v>
      </c>
      <c r="D900" s="1">
        <f>LEN(VolumebyClient[[#This Row],[CLID]])</f>
        <v>7</v>
      </c>
      <c r="F900" s="1" t="str">
        <f>INDEX(GeobyClient[GEOID],MATCH(VolumebyClient[[#This Row],[CLID]],GeobyClient[Right],0))</f>
        <v>GEO1002</v>
      </c>
      <c r="G900" s="1" t="str">
        <f>VLOOKUP(VolumebyClient[[#This Row],[Index Match Region ID]],GEONames[[GEOID]:[GEO NAME]],2,FALSE)</f>
        <v>APAC</v>
      </c>
      <c r="H900" s="1" t="str">
        <f>"Q"&amp;ROUNDUP(MONTH(VolumebyClient[[#This Row],[Date]])/3,0)&amp;" "&amp;YEAR(VolumebyClient[[#This Row],[Date]])</f>
        <v>Q4 2020</v>
      </c>
      <c r="I900" s="1" t="str">
        <f>VLOOKUP(VolumebyClient[[#This Row],[Date]],Quarters[],3,TRUE)</f>
        <v>Q4 2020</v>
      </c>
    </row>
    <row r="901" spans="1:9" x14ac:dyDescent="0.2">
      <c r="A901" s="2" t="s">
        <v>9</v>
      </c>
      <c r="B901" s="10">
        <v>44165</v>
      </c>
      <c r="C901" s="5">
        <v>214</v>
      </c>
      <c r="D901" s="1">
        <f>LEN(VolumebyClient[[#This Row],[CLID]])</f>
        <v>7</v>
      </c>
      <c r="F901" s="1" t="str">
        <f>INDEX(GeobyClient[GEOID],MATCH(VolumebyClient[[#This Row],[CLID]],GeobyClient[Right],0))</f>
        <v>GEO1002</v>
      </c>
      <c r="G901" s="1" t="str">
        <f>VLOOKUP(VolumebyClient[[#This Row],[Index Match Region ID]],GEONames[[GEOID]:[GEO NAME]],2,FALSE)</f>
        <v>APAC</v>
      </c>
      <c r="H901" s="1" t="str">
        <f>"Q"&amp;ROUNDUP(MONTH(VolumebyClient[[#This Row],[Date]])/3,0)&amp;" "&amp;YEAR(VolumebyClient[[#This Row],[Date]])</f>
        <v>Q4 2020</v>
      </c>
      <c r="I901" s="1" t="str">
        <f>VLOOKUP(VolumebyClient[[#This Row],[Date]],Quarters[],3,TRUE)</f>
        <v>Q4 2020</v>
      </c>
    </row>
    <row r="902" spans="1:9" x14ac:dyDescent="0.2">
      <c r="A902" s="2" t="s">
        <v>9</v>
      </c>
      <c r="B902" s="10">
        <v>44196</v>
      </c>
      <c r="C902" s="5">
        <v>194</v>
      </c>
      <c r="D902" s="1">
        <f>LEN(VolumebyClient[[#This Row],[CLID]])</f>
        <v>7</v>
      </c>
      <c r="F902" s="1" t="str">
        <f>INDEX(GeobyClient[GEOID],MATCH(VolumebyClient[[#This Row],[CLID]],GeobyClient[Right],0))</f>
        <v>GEO1002</v>
      </c>
      <c r="G902" s="1" t="str">
        <f>VLOOKUP(VolumebyClient[[#This Row],[Index Match Region ID]],GEONames[[GEOID]:[GEO NAME]],2,FALSE)</f>
        <v>APAC</v>
      </c>
      <c r="H902" s="1" t="str">
        <f>"Q"&amp;ROUNDUP(MONTH(VolumebyClient[[#This Row],[Date]])/3,0)&amp;" "&amp;YEAR(VolumebyClient[[#This Row],[Date]])</f>
        <v>Q4 2020</v>
      </c>
      <c r="I902" s="1" t="str">
        <f>VLOOKUP(VolumebyClient[[#This Row],[Date]],Quarters[],3,TRUE)</f>
        <v>Q4 2020</v>
      </c>
    </row>
    <row r="903" spans="1:9" x14ac:dyDescent="0.2">
      <c r="A903" s="2" t="s">
        <v>9</v>
      </c>
      <c r="B903" s="10">
        <v>44377</v>
      </c>
      <c r="C903" s="5">
        <v>195</v>
      </c>
      <c r="D903" s="1">
        <f>LEN(VolumebyClient[[#This Row],[CLID]])</f>
        <v>7</v>
      </c>
      <c r="F903" s="1" t="str">
        <f>INDEX(GeobyClient[GEOID],MATCH(VolumebyClient[[#This Row],[CLID]],GeobyClient[Right],0))</f>
        <v>GEO1002</v>
      </c>
      <c r="G903" s="1" t="str">
        <f>VLOOKUP(VolumebyClient[[#This Row],[Index Match Region ID]],GEONames[[GEOID]:[GEO NAME]],2,FALSE)</f>
        <v>APAC</v>
      </c>
      <c r="H903" s="1" t="str">
        <f>"Q"&amp;ROUNDUP(MONTH(VolumebyClient[[#This Row],[Date]])/3,0)&amp;" "&amp;YEAR(VolumebyClient[[#This Row],[Date]])</f>
        <v>Q2 2021</v>
      </c>
      <c r="I903" s="1" t="str">
        <f>VLOOKUP(VolumebyClient[[#This Row],[Date]],Quarters[],3,TRUE)</f>
        <v>Q2 2021</v>
      </c>
    </row>
    <row r="904" spans="1:9" x14ac:dyDescent="0.2">
      <c r="A904" s="2" t="s">
        <v>9</v>
      </c>
      <c r="B904" s="10">
        <v>44347</v>
      </c>
      <c r="C904" s="5">
        <v>290</v>
      </c>
      <c r="D904" s="1">
        <f>LEN(VolumebyClient[[#This Row],[CLID]])</f>
        <v>7</v>
      </c>
      <c r="F904" s="1" t="str">
        <f>INDEX(GeobyClient[GEOID],MATCH(VolumebyClient[[#This Row],[CLID]],GeobyClient[Right],0))</f>
        <v>GEO1002</v>
      </c>
      <c r="G904" s="1" t="str">
        <f>VLOOKUP(VolumebyClient[[#This Row],[Index Match Region ID]],GEONames[[GEOID]:[GEO NAME]],2,FALSE)</f>
        <v>APAC</v>
      </c>
      <c r="H904" s="1" t="str">
        <f>"Q"&amp;ROUNDUP(MONTH(VolumebyClient[[#This Row],[Date]])/3,0)&amp;" "&amp;YEAR(VolumebyClient[[#This Row],[Date]])</f>
        <v>Q2 2021</v>
      </c>
      <c r="I904" s="1" t="str">
        <f>VLOOKUP(VolumebyClient[[#This Row],[Date]],Quarters[],3,TRUE)</f>
        <v>Q2 2021</v>
      </c>
    </row>
    <row r="905" spans="1:9" x14ac:dyDescent="0.2">
      <c r="A905" s="2" t="s">
        <v>9</v>
      </c>
      <c r="B905" s="10">
        <v>44316</v>
      </c>
      <c r="C905" s="5">
        <v>294</v>
      </c>
      <c r="D905" s="1">
        <f>LEN(VolumebyClient[[#This Row],[CLID]])</f>
        <v>7</v>
      </c>
      <c r="F905" s="1" t="str">
        <f>INDEX(GeobyClient[GEOID],MATCH(VolumebyClient[[#This Row],[CLID]],GeobyClient[Right],0))</f>
        <v>GEO1002</v>
      </c>
      <c r="G905" s="1" t="str">
        <f>VLOOKUP(VolumebyClient[[#This Row],[Index Match Region ID]],GEONames[[GEOID]:[GEO NAME]],2,FALSE)</f>
        <v>APAC</v>
      </c>
      <c r="H905" s="1" t="str">
        <f>"Q"&amp;ROUNDUP(MONTH(VolumebyClient[[#This Row],[Date]])/3,0)&amp;" "&amp;YEAR(VolumebyClient[[#This Row],[Date]])</f>
        <v>Q2 2021</v>
      </c>
      <c r="I905" s="1" t="str">
        <f>VLOOKUP(VolumebyClient[[#This Row],[Date]],Quarters[],3,TRUE)</f>
        <v>Q2 2021</v>
      </c>
    </row>
    <row r="906" spans="1:9" x14ac:dyDescent="0.2">
      <c r="A906" s="2" t="s">
        <v>9</v>
      </c>
      <c r="B906" s="10">
        <v>44286</v>
      </c>
      <c r="C906" s="5">
        <v>270</v>
      </c>
      <c r="D906" s="1">
        <f>LEN(VolumebyClient[[#This Row],[CLID]])</f>
        <v>7</v>
      </c>
      <c r="F906" s="1" t="str">
        <f>INDEX(GeobyClient[GEOID],MATCH(VolumebyClient[[#This Row],[CLID]],GeobyClient[Right],0))</f>
        <v>GEO1002</v>
      </c>
      <c r="G906" s="1" t="str">
        <f>VLOOKUP(VolumebyClient[[#This Row],[Index Match Region ID]],GEONames[[GEOID]:[GEO NAME]],2,FALSE)</f>
        <v>APAC</v>
      </c>
      <c r="H906" s="1" t="str">
        <f>"Q"&amp;ROUNDUP(MONTH(VolumebyClient[[#This Row],[Date]])/3,0)&amp;" "&amp;YEAR(VolumebyClient[[#This Row],[Date]])</f>
        <v>Q1 2021</v>
      </c>
      <c r="I906" s="1" t="str">
        <f>VLOOKUP(VolumebyClient[[#This Row],[Date]],Quarters[],3,TRUE)</f>
        <v>Q1 2021</v>
      </c>
    </row>
    <row r="907" spans="1:9" x14ac:dyDescent="0.2">
      <c r="A907" s="2" t="s">
        <v>9</v>
      </c>
      <c r="B907" s="10">
        <v>44255</v>
      </c>
      <c r="C907" s="5">
        <v>224</v>
      </c>
      <c r="D907" s="1">
        <f>LEN(VolumebyClient[[#This Row],[CLID]])</f>
        <v>7</v>
      </c>
      <c r="F907" s="1" t="str">
        <f>INDEX(GeobyClient[GEOID],MATCH(VolumebyClient[[#This Row],[CLID]],GeobyClient[Right],0))</f>
        <v>GEO1002</v>
      </c>
      <c r="G907" s="1" t="str">
        <f>VLOOKUP(VolumebyClient[[#This Row],[Index Match Region ID]],GEONames[[GEOID]:[GEO NAME]],2,FALSE)</f>
        <v>APAC</v>
      </c>
      <c r="H907" s="1" t="str">
        <f>"Q"&amp;ROUNDUP(MONTH(VolumebyClient[[#This Row],[Date]])/3,0)&amp;" "&amp;YEAR(VolumebyClient[[#This Row],[Date]])</f>
        <v>Q1 2021</v>
      </c>
      <c r="I907" s="1" t="str">
        <f>VLOOKUP(VolumebyClient[[#This Row],[Date]],Quarters[],3,TRUE)</f>
        <v>Q1 2021</v>
      </c>
    </row>
    <row r="908" spans="1:9" x14ac:dyDescent="0.2">
      <c r="A908" s="2" t="s">
        <v>9</v>
      </c>
      <c r="B908" s="10">
        <v>44227</v>
      </c>
      <c r="C908" s="5">
        <v>222</v>
      </c>
      <c r="D908" s="1">
        <f>LEN(VolumebyClient[[#This Row],[CLID]])</f>
        <v>7</v>
      </c>
      <c r="F908" s="1" t="str">
        <f>INDEX(GeobyClient[GEOID],MATCH(VolumebyClient[[#This Row],[CLID]],GeobyClient[Right],0))</f>
        <v>GEO1002</v>
      </c>
      <c r="G908" s="1" t="str">
        <f>VLOOKUP(VolumebyClient[[#This Row],[Index Match Region ID]],GEONames[[GEOID]:[GEO NAME]],2,FALSE)</f>
        <v>APAC</v>
      </c>
      <c r="H908" s="1" t="str">
        <f>"Q"&amp;ROUNDUP(MONTH(VolumebyClient[[#This Row],[Date]])/3,0)&amp;" "&amp;YEAR(VolumebyClient[[#This Row],[Date]])</f>
        <v>Q1 2021</v>
      </c>
      <c r="I908" s="1" t="str">
        <f>VLOOKUP(VolumebyClient[[#This Row],[Date]],Quarters[],3,TRUE)</f>
        <v>Q1 2021</v>
      </c>
    </row>
  </sheetData>
  <phoneticPr fontId="6" type="noConversion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74F2B-BB96-4BFB-B6FB-E78CDF78F32C}">
  <dimension ref="A1:M54"/>
  <sheetViews>
    <sheetView tabSelected="1" workbookViewId="0">
      <selection activeCell="I13" sqref="I13"/>
    </sheetView>
  </sheetViews>
  <sheetFormatPr defaultRowHeight="12.75" x14ac:dyDescent="0.2"/>
  <cols>
    <col min="1" max="1" width="10.140625" style="1" bestFit="1" customWidth="1"/>
    <col min="2" max="2" width="9.140625" style="1"/>
    <col min="3" max="4" width="8" style="1" customWidth="1"/>
    <col min="5" max="6" width="9.140625" style="1"/>
    <col min="7" max="7" width="9.7109375" style="1" bestFit="1" customWidth="1"/>
    <col min="8" max="11" width="9.140625" style="1"/>
    <col min="12" max="12" width="13" style="1" customWidth="1"/>
    <col min="13" max="13" width="12.85546875" style="1" bestFit="1" customWidth="1"/>
    <col min="14" max="16384" width="9.140625" style="1"/>
  </cols>
  <sheetData>
    <row r="1" spans="1:13" x14ac:dyDescent="0.2">
      <c r="A1" s="1" t="s">
        <v>0</v>
      </c>
      <c r="B1" s="1" t="s">
        <v>60</v>
      </c>
      <c r="C1" s="3" t="s">
        <v>119</v>
      </c>
      <c r="D1" s="3" t="s">
        <v>121</v>
      </c>
      <c r="E1" s="3" t="s">
        <v>120</v>
      </c>
      <c r="F1" s="3" t="s">
        <v>122</v>
      </c>
      <c r="G1" s="3" t="s">
        <v>140</v>
      </c>
      <c r="K1" s="1" t="s">
        <v>60</v>
      </c>
      <c r="L1" s="3" t="s">
        <v>117</v>
      </c>
      <c r="M1" s="3" t="s">
        <v>125</v>
      </c>
    </row>
    <row r="2" spans="1:13" x14ac:dyDescent="0.2">
      <c r="A2" s="1" t="s">
        <v>61</v>
      </c>
      <c r="B2" s="1" t="s">
        <v>57</v>
      </c>
      <c r="C2" s="1">
        <f>LEN(GeobyClient[[#This Row],[CLID]])</f>
        <v>9</v>
      </c>
      <c r="D2" s="1" t="str">
        <f>MID(GeobyClient[[#This Row],[CLID]],3,7)</f>
        <v>CL69323</v>
      </c>
      <c r="E2" s="1" t="str">
        <f>RIGHT(GeobyClient[[#This Row],[CLID]],7)</f>
        <v>CL69323</v>
      </c>
      <c r="F2" s="1" t="b">
        <f>GeobyClient[[#This Row],[Right]]=GeobyClient[[#This Row],[Mid]]</f>
        <v>1</v>
      </c>
      <c r="G2" s="1" t="str">
        <f>VLOOKUP(GeobyClient[[#This Row],[GEOID]],GEONames[[GEOID]:[GEO NAME]],2,FALSE)</f>
        <v>NAM</v>
      </c>
      <c r="K2" s="1" t="s">
        <v>57</v>
      </c>
      <c r="L2" s="3" t="s">
        <v>115</v>
      </c>
      <c r="M2" s="5">
        <f>SUMIFS(VolumebyClient[Vol],VolumebyClient[Index Match Region ID],GEONames[[#This Row],[GEOID]])</f>
        <v>3008286</v>
      </c>
    </row>
    <row r="3" spans="1:13" x14ac:dyDescent="0.2">
      <c r="A3" s="1" t="s">
        <v>62</v>
      </c>
      <c r="B3" s="1" t="s">
        <v>57</v>
      </c>
      <c r="C3" s="1">
        <f>LEN(GeobyClient[[#This Row],[CLID]])</f>
        <v>9</v>
      </c>
      <c r="D3" s="1" t="str">
        <f>MID(GeobyClient[[#This Row],[CLID]],3,7)</f>
        <v>CL97995</v>
      </c>
      <c r="E3" s="1" t="str">
        <f>RIGHT(GeobyClient[[#This Row],[CLID]],7)</f>
        <v>CL97995</v>
      </c>
      <c r="F3" s="1" t="b">
        <f>GeobyClient[[#This Row],[Right]]=GeobyClient[[#This Row],[Mid]]</f>
        <v>1</v>
      </c>
      <c r="G3" s="1" t="str">
        <f>VLOOKUP(GeobyClient[[#This Row],[GEOID]],GEONames[[GEOID]:[GEO NAME]],2,FALSE)</f>
        <v>NAM</v>
      </c>
      <c r="K3" s="1" t="s">
        <v>54</v>
      </c>
      <c r="L3" s="3" t="s">
        <v>116</v>
      </c>
      <c r="M3" s="5">
        <f>SUMIFS(VolumebyClient[Vol],VolumebyClient[Index Match Region ID],GEONames[[#This Row],[GEOID]])</f>
        <v>880760</v>
      </c>
    </row>
    <row r="4" spans="1:13" x14ac:dyDescent="0.2">
      <c r="A4" s="1" t="s">
        <v>63</v>
      </c>
      <c r="B4" s="1" t="s">
        <v>54</v>
      </c>
      <c r="C4" s="1">
        <f>LEN(GeobyClient[[#This Row],[CLID]])</f>
        <v>9</v>
      </c>
      <c r="D4" s="1" t="str">
        <f>MID(GeobyClient[[#This Row],[CLID]],3,7)</f>
        <v>CL87299</v>
      </c>
      <c r="E4" s="1" t="str">
        <f>RIGHT(GeobyClient[[#This Row],[CLID]],7)</f>
        <v>CL87299</v>
      </c>
      <c r="F4" s="1" t="b">
        <f>GeobyClient[[#This Row],[Right]]=GeobyClient[[#This Row],[Mid]]</f>
        <v>1</v>
      </c>
      <c r="G4" s="1" t="str">
        <f>VLOOKUP(GeobyClient[[#This Row],[GEOID]],GEONames[[GEOID]:[GEO NAME]],2,FALSE)</f>
        <v>EMEA</v>
      </c>
      <c r="K4" s="1" t="s">
        <v>56</v>
      </c>
      <c r="L4" s="6" t="s">
        <v>127</v>
      </c>
      <c r="M4" s="5">
        <f>SUMIFS(VolumebyClient[Vol],VolumebyClient[Index Match Region ID],GEONames[[#This Row],[GEOID]])</f>
        <v>562005</v>
      </c>
    </row>
    <row r="5" spans="1:13" x14ac:dyDescent="0.2">
      <c r="A5" s="1" t="s">
        <v>64</v>
      </c>
      <c r="B5" s="1" t="s">
        <v>57</v>
      </c>
      <c r="C5" s="1">
        <f>LEN(GeobyClient[[#This Row],[CLID]])</f>
        <v>9</v>
      </c>
      <c r="D5" s="1" t="str">
        <f>MID(GeobyClient[[#This Row],[CLID]],3,7)</f>
        <v>CL38496</v>
      </c>
      <c r="E5" s="1" t="str">
        <f>RIGHT(GeobyClient[[#This Row],[CLID]],7)</f>
        <v>CL38496</v>
      </c>
      <c r="F5" s="1" t="b">
        <f>GeobyClient[[#This Row],[Right]]=GeobyClient[[#This Row],[Mid]]</f>
        <v>1</v>
      </c>
      <c r="G5" s="1" t="str">
        <f>VLOOKUP(GeobyClient[[#This Row],[GEOID]],GEONames[[GEOID]:[GEO NAME]],2,FALSE)</f>
        <v>NAM</v>
      </c>
      <c r="K5" s="1" t="s">
        <v>55</v>
      </c>
      <c r="L5" s="6" t="s">
        <v>126</v>
      </c>
      <c r="M5" s="5">
        <f>SUMIFS(VolumebyClient[Vol],VolumebyClient[Index Match Region ID],GEONames[[#This Row],[GEOID]])</f>
        <v>425262</v>
      </c>
    </row>
    <row r="6" spans="1:13" x14ac:dyDescent="0.2">
      <c r="A6" s="1" t="s">
        <v>65</v>
      </c>
      <c r="B6" s="1" t="s">
        <v>54</v>
      </c>
      <c r="C6" s="1">
        <f>LEN(GeobyClient[[#This Row],[CLID]])</f>
        <v>9</v>
      </c>
      <c r="D6" s="1" t="str">
        <f>MID(GeobyClient[[#This Row],[CLID]],3,7)</f>
        <v>CL75562</v>
      </c>
      <c r="E6" s="1" t="str">
        <f>RIGHT(GeobyClient[[#This Row],[CLID]],7)</f>
        <v>CL75562</v>
      </c>
      <c r="F6" s="1" t="b">
        <f>GeobyClient[[#This Row],[Right]]=GeobyClient[[#This Row],[Mid]]</f>
        <v>1</v>
      </c>
      <c r="G6" s="1" t="str">
        <f>VLOOKUP(GeobyClient[[#This Row],[GEOID]],GEONames[[GEOID]:[GEO NAME]],2,FALSE)</f>
        <v>EMEA</v>
      </c>
      <c r="M6" s="5">
        <f>SUBTOTAL(109,GEONames[Volume])</f>
        <v>4876313</v>
      </c>
    </row>
    <row r="7" spans="1:13" x14ac:dyDescent="0.2">
      <c r="A7" s="1" t="s">
        <v>66</v>
      </c>
      <c r="B7" s="1" t="s">
        <v>57</v>
      </c>
      <c r="C7" s="1">
        <f>LEN(GeobyClient[[#This Row],[CLID]])</f>
        <v>9</v>
      </c>
      <c r="D7" s="1" t="str">
        <f>MID(GeobyClient[[#This Row],[CLID]],3,7)</f>
        <v>CL31601</v>
      </c>
      <c r="E7" s="1" t="str">
        <f>RIGHT(GeobyClient[[#This Row],[CLID]],7)</f>
        <v>CL31601</v>
      </c>
      <c r="F7" s="1" t="b">
        <f>GeobyClient[[#This Row],[Right]]=GeobyClient[[#This Row],[Mid]]</f>
        <v>1</v>
      </c>
      <c r="G7" s="1" t="str">
        <f>VLOOKUP(GeobyClient[[#This Row],[GEOID]],GEONames[[GEOID]:[GEO NAME]],2,FALSE)</f>
        <v>NAM</v>
      </c>
      <c r="K7"/>
      <c r="M7" s="7">
        <f>GEONames[[#Totals],[Volume]]-SUM(VolumebyClient[Vol])</f>
        <v>0</v>
      </c>
    </row>
    <row r="8" spans="1:13" x14ac:dyDescent="0.2">
      <c r="A8" s="1" t="s">
        <v>67</v>
      </c>
      <c r="B8" s="1" t="s">
        <v>57</v>
      </c>
      <c r="C8" s="1">
        <f>LEN(GeobyClient[[#This Row],[CLID]])</f>
        <v>9</v>
      </c>
      <c r="D8" s="1" t="str">
        <f>MID(GeobyClient[[#This Row],[CLID]],3,7)</f>
        <v>CL33189</v>
      </c>
      <c r="E8" s="1" t="str">
        <f>RIGHT(GeobyClient[[#This Row],[CLID]],7)</f>
        <v>CL33189</v>
      </c>
      <c r="F8" s="1" t="b">
        <f>GeobyClient[[#This Row],[Right]]=GeobyClient[[#This Row],[Mid]]</f>
        <v>1</v>
      </c>
      <c r="G8" s="1" t="str">
        <f>VLOOKUP(GeobyClient[[#This Row],[GEOID]],GEONames[[GEOID]:[GEO NAME]],2,FALSE)</f>
        <v>NAM</v>
      </c>
      <c r="K8"/>
    </row>
    <row r="9" spans="1:13" x14ac:dyDescent="0.2">
      <c r="A9" s="1" t="s">
        <v>68</v>
      </c>
      <c r="B9" s="1" t="s">
        <v>57</v>
      </c>
      <c r="C9" s="1">
        <f>LEN(GeobyClient[[#This Row],[CLID]])</f>
        <v>9</v>
      </c>
      <c r="D9" s="1" t="str">
        <f>MID(GeobyClient[[#This Row],[CLID]],3,7)</f>
        <v>CL22140</v>
      </c>
      <c r="E9" s="1" t="str">
        <f>RIGHT(GeobyClient[[#This Row],[CLID]],7)</f>
        <v>CL22140</v>
      </c>
      <c r="F9" s="1" t="b">
        <f>GeobyClient[[#This Row],[Right]]=GeobyClient[[#This Row],[Mid]]</f>
        <v>1</v>
      </c>
      <c r="G9" s="1" t="str">
        <f>VLOOKUP(GeobyClient[[#This Row],[GEOID]],GEONames[[GEOID]:[GEO NAME]],2,FALSE)</f>
        <v>NAM</v>
      </c>
      <c r="K9"/>
    </row>
    <row r="10" spans="1:13" x14ac:dyDescent="0.2">
      <c r="A10" s="1" t="s">
        <v>69</v>
      </c>
      <c r="B10" s="1" t="s">
        <v>56</v>
      </c>
      <c r="C10" s="1">
        <f>LEN(GeobyClient[[#This Row],[CLID]])</f>
        <v>9</v>
      </c>
      <c r="D10" s="1" t="str">
        <f>MID(GeobyClient[[#This Row],[CLID]],3,7)</f>
        <v>CL49960</v>
      </c>
      <c r="E10" s="1" t="str">
        <f>RIGHT(GeobyClient[[#This Row],[CLID]],7)</f>
        <v>CL49960</v>
      </c>
      <c r="F10" s="1" t="b">
        <f>GeobyClient[[#This Row],[Right]]=GeobyClient[[#This Row],[Mid]]</f>
        <v>1</v>
      </c>
      <c r="G10" s="1" t="str">
        <f>VLOOKUP(GeobyClient[[#This Row],[GEOID]],GEONames[[GEOID]:[GEO NAME]],2,FALSE)</f>
        <v>APAC</v>
      </c>
      <c r="K10"/>
    </row>
    <row r="11" spans="1:13" x14ac:dyDescent="0.2">
      <c r="A11" s="1" t="s">
        <v>70</v>
      </c>
      <c r="B11" s="1" t="s">
        <v>55</v>
      </c>
      <c r="C11" s="1">
        <f>LEN(GeobyClient[[#This Row],[CLID]])</f>
        <v>9</v>
      </c>
      <c r="D11" s="1" t="str">
        <f>MID(GeobyClient[[#This Row],[CLID]],3,7)</f>
        <v>CL43946</v>
      </c>
      <c r="E11" s="1" t="str">
        <f>RIGHT(GeobyClient[[#This Row],[CLID]],7)</f>
        <v>CL43946</v>
      </c>
      <c r="F11" s="1" t="b">
        <f>GeobyClient[[#This Row],[Right]]=GeobyClient[[#This Row],[Mid]]</f>
        <v>1</v>
      </c>
      <c r="G11" s="1" t="str">
        <f>VLOOKUP(GeobyClient[[#This Row],[GEOID]],GEONames[[GEOID]:[GEO NAME]],2,FALSE)</f>
        <v>LATAM</v>
      </c>
      <c r="K11"/>
    </row>
    <row r="12" spans="1:13" x14ac:dyDescent="0.2">
      <c r="A12" s="1" t="s">
        <v>71</v>
      </c>
      <c r="B12" s="1" t="s">
        <v>57</v>
      </c>
      <c r="C12" s="1">
        <f>LEN(GeobyClient[[#This Row],[CLID]])</f>
        <v>9</v>
      </c>
      <c r="D12" s="1" t="str">
        <f>MID(GeobyClient[[#This Row],[CLID]],3,7)</f>
        <v>CL37714</v>
      </c>
      <c r="E12" s="1" t="str">
        <f>RIGHT(GeobyClient[[#This Row],[CLID]],7)</f>
        <v>CL37714</v>
      </c>
      <c r="F12" s="1" t="b">
        <f>GeobyClient[[#This Row],[Right]]=GeobyClient[[#This Row],[Mid]]</f>
        <v>1</v>
      </c>
      <c r="G12" s="1" t="str">
        <f>VLOOKUP(GeobyClient[[#This Row],[GEOID]],GEONames[[GEOID]:[GEO NAME]],2,FALSE)</f>
        <v>NAM</v>
      </c>
      <c r="K12"/>
    </row>
    <row r="13" spans="1:13" x14ac:dyDescent="0.2">
      <c r="A13" s="1" t="s">
        <v>72</v>
      </c>
      <c r="B13" s="1" t="s">
        <v>56</v>
      </c>
      <c r="C13" s="1">
        <f>LEN(GeobyClient[[#This Row],[CLID]])</f>
        <v>9</v>
      </c>
      <c r="D13" s="1" t="str">
        <f>MID(GeobyClient[[#This Row],[CLID]],3,7)</f>
        <v>CL75274</v>
      </c>
      <c r="E13" s="1" t="str">
        <f>RIGHT(GeobyClient[[#This Row],[CLID]],7)</f>
        <v>CL75274</v>
      </c>
      <c r="F13" s="1" t="b">
        <f>GeobyClient[[#This Row],[Right]]=GeobyClient[[#This Row],[Mid]]</f>
        <v>1</v>
      </c>
      <c r="G13" s="1" t="str">
        <f>VLOOKUP(GeobyClient[[#This Row],[GEOID]],GEONames[[GEOID]:[GEO NAME]],2,FALSE)</f>
        <v>APAC</v>
      </c>
      <c r="K13"/>
    </row>
    <row r="14" spans="1:13" x14ac:dyDescent="0.2">
      <c r="A14" s="1" t="s">
        <v>73</v>
      </c>
      <c r="B14" s="1" t="s">
        <v>57</v>
      </c>
      <c r="C14" s="1">
        <f>LEN(GeobyClient[[#This Row],[CLID]])</f>
        <v>9</v>
      </c>
      <c r="D14" s="1" t="str">
        <f>MID(GeobyClient[[#This Row],[CLID]],3,7)</f>
        <v>CL61534</v>
      </c>
      <c r="E14" s="1" t="str">
        <f>RIGHT(GeobyClient[[#This Row],[CLID]],7)</f>
        <v>CL61534</v>
      </c>
      <c r="F14" s="1" t="b">
        <f>GeobyClient[[#This Row],[Right]]=GeobyClient[[#This Row],[Mid]]</f>
        <v>1</v>
      </c>
      <c r="G14" s="1" t="str">
        <f>VLOOKUP(GeobyClient[[#This Row],[GEOID]],GEONames[[GEOID]:[GEO NAME]],2,FALSE)</f>
        <v>NAM</v>
      </c>
      <c r="K14"/>
    </row>
    <row r="15" spans="1:13" x14ac:dyDescent="0.2">
      <c r="A15" s="1" t="s">
        <v>74</v>
      </c>
      <c r="B15" s="1" t="s">
        <v>55</v>
      </c>
      <c r="C15" s="1">
        <f>LEN(GeobyClient[[#This Row],[CLID]])</f>
        <v>9</v>
      </c>
      <c r="D15" s="1" t="str">
        <f>MID(GeobyClient[[#This Row],[CLID]],3,7)</f>
        <v>CL85641</v>
      </c>
      <c r="E15" s="1" t="str">
        <f>RIGHT(GeobyClient[[#This Row],[CLID]],7)</f>
        <v>CL85641</v>
      </c>
      <c r="F15" s="1" t="b">
        <f>GeobyClient[[#This Row],[Right]]=GeobyClient[[#This Row],[Mid]]</f>
        <v>1</v>
      </c>
      <c r="G15" s="1" t="str">
        <f>VLOOKUP(GeobyClient[[#This Row],[GEOID]],GEONames[[GEOID]:[GEO NAME]],2,FALSE)</f>
        <v>LATAM</v>
      </c>
      <c r="K15"/>
    </row>
    <row r="16" spans="1:13" x14ac:dyDescent="0.2">
      <c r="A16" s="1" t="s">
        <v>75</v>
      </c>
      <c r="B16" s="1" t="s">
        <v>57</v>
      </c>
      <c r="C16" s="1">
        <f>LEN(GeobyClient[[#This Row],[CLID]])</f>
        <v>9</v>
      </c>
      <c r="D16" s="1" t="str">
        <f>MID(GeobyClient[[#This Row],[CLID]],3,7)</f>
        <v>CL46663</v>
      </c>
      <c r="E16" s="1" t="str">
        <f>RIGHT(GeobyClient[[#This Row],[CLID]],7)</f>
        <v>CL46663</v>
      </c>
      <c r="F16" s="1" t="b">
        <f>GeobyClient[[#This Row],[Right]]=GeobyClient[[#This Row],[Mid]]</f>
        <v>1</v>
      </c>
      <c r="G16" s="1" t="str">
        <f>VLOOKUP(GeobyClient[[#This Row],[GEOID]],GEONames[[GEOID]:[GEO NAME]],2,FALSE)</f>
        <v>NAM</v>
      </c>
      <c r="K16"/>
    </row>
    <row r="17" spans="1:11" x14ac:dyDescent="0.2">
      <c r="A17" s="1" t="s">
        <v>76</v>
      </c>
      <c r="B17" s="1" t="s">
        <v>57</v>
      </c>
      <c r="C17" s="1">
        <f>LEN(GeobyClient[[#This Row],[CLID]])</f>
        <v>9</v>
      </c>
      <c r="D17" s="1" t="str">
        <f>MID(GeobyClient[[#This Row],[CLID]],3,7)</f>
        <v>CL17270</v>
      </c>
      <c r="E17" s="1" t="str">
        <f>RIGHT(GeobyClient[[#This Row],[CLID]],7)</f>
        <v>CL17270</v>
      </c>
      <c r="F17" s="1" t="b">
        <f>GeobyClient[[#This Row],[Right]]=GeobyClient[[#This Row],[Mid]]</f>
        <v>1</v>
      </c>
      <c r="G17" s="1" t="str">
        <f>VLOOKUP(GeobyClient[[#This Row],[GEOID]],GEONames[[GEOID]:[GEO NAME]],2,FALSE)</f>
        <v>NAM</v>
      </c>
      <c r="K17"/>
    </row>
    <row r="18" spans="1:11" x14ac:dyDescent="0.2">
      <c r="A18" s="1" t="s">
        <v>77</v>
      </c>
      <c r="B18" s="1" t="s">
        <v>57</v>
      </c>
      <c r="C18" s="1">
        <f>LEN(GeobyClient[[#This Row],[CLID]])</f>
        <v>9</v>
      </c>
      <c r="D18" s="1" t="str">
        <f>MID(GeobyClient[[#This Row],[CLID]],3,7)</f>
        <v>CL57593</v>
      </c>
      <c r="E18" s="1" t="str">
        <f>RIGHT(GeobyClient[[#This Row],[CLID]],7)</f>
        <v>CL57593</v>
      </c>
      <c r="F18" s="1" t="b">
        <f>GeobyClient[[#This Row],[Right]]=GeobyClient[[#This Row],[Mid]]</f>
        <v>1</v>
      </c>
      <c r="G18" s="1" t="str">
        <f>VLOOKUP(GeobyClient[[#This Row],[GEOID]],GEONames[[GEOID]:[GEO NAME]],2,FALSE)</f>
        <v>NAM</v>
      </c>
      <c r="K18"/>
    </row>
    <row r="19" spans="1:11" x14ac:dyDescent="0.2">
      <c r="A19" s="1" t="s">
        <v>78</v>
      </c>
      <c r="B19" s="1" t="s">
        <v>57</v>
      </c>
      <c r="C19" s="1">
        <f>LEN(GeobyClient[[#This Row],[CLID]])</f>
        <v>9</v>
      </c>
      <c r="D19" s="1" t="str">
        <f>MID(GeobyClient[[#This Row],[CLID]],3,7)</f>
        <v>CL96680</v>
      </c>
      <c r="E19" s="1" t="str">
        <f>RIGHT(GeobyClient[[#This Row],[CLID]],7)</f>
        <v>CL96680</v>
      </c>
      <c r="F19" s="1" t="b">
        <f>GeobyClient[[#This Row],[Right]]=GeobyClient[[#This Row],[Mid]]</f>
        <v>1</v>
      </c>
      <c r="G19" s="1" t="str">
        <f>VLOOKUP(GeobyClient[[#This Row],[GEOID]],GEONames[[GEOID]:[GEO NAME]],2,FALSE)</f>
        <v>NAM</v>
      </c>
      <c r="K19"/>
    </row>
    <row r="20" spans="1:11" x14ac:dyDescent="0.2">
      <c r="A20" s="1" t="s">
        <v>79</v>
      </c>
      <c r="B20" s="1" t="s">
        <v>57</v>
      </c>
      <c r="C20" s="1">
        <f>LEN(GeobyClient[[#This Row],[CLID]])</f>
        <v>9</v>
      </c>
      <c r="D20" s="1" t="str">
        <f>MID(GeobyClient[[#This Row],[CLID]],3,7)</f>
        <v>CL79204</v>
      </c>
      <c r="E20" s="1" t="str">
        <f>RIGHT(GeobyClient[[#This Row],[CLID]],7)</f>
        <v>CL79204</v>
      </c>
      <c r="F20" s="1" t="b">
        <f>GeobyClient[[#This Row],[Right]]=GeobyClient[[#This Row],[Mid]]</f>
        <v>1</v>
      </c>
      <c r="G20" s="1" t="str">
        <f>VLOOKUP(GeobyClient[[#This Row],[GEOID]],GEONames[[GEOID]:[GEO NAME]],2,FALSE)</f>
        <v>NAM</v>
      </c>
      <c r="K20"/>
    </row>
    <row r="21" spans="1:11" x14ac:dyDescent="0.2">
      <c r="A21" s="1" t="s">
        <v>80</v>
      </c>
      <c r="B21" s="1" t="s">
        <v>57</v>
      </c>
      <c r="C21" s="1">
        <f>LEN(GeobyClient[[#This Row],[CLID]])</f>
        <v>9</v>
      </c>
      <c r="D21" s="1" t="str">
        <f>MID(GeobyClient[[#This Row],[CLID]],3,7)</f>
        <v>CL83029</v>
      </c>
      <c r="E21" s="1" t="str">
        <f>RIGHT(GeobyClient[[#This Row],[CLID]],7)</f>
        <v>CL83029</v>
      </c>
      <c r="F21" s="1" t="b">
        <f>GeobyClient[[#This Row],[Right]]=GeobyClient[[#This Row],[Mid]]</f>
        <v>1</v>
      </c>
      <c r="G21" s="1" t="str">
        <f>VLOOKUP(GeobyClient[[#This Row],[GEOID]],GEONames[[GEOID]:[GEO NAME]],2,FALSE)</f>
        <v>NAM</v>
      </c>
      <c r="K21"/>
    </row>
    <row r="22" spans="1:11" x14ac:dyDescent="0.2">
      <c r="A22" s="1" t="s">
        <v>81</v>
      </c>
      <c r="B22" s="1" t="s">
        <v>55</v>
      </c>
      <c r="C22" s="1">
        <f>LEN(GeobyClient[[#This Row],[CLID]])</f>
        <v>9</v>
      </c>
      <c r="D22" s="1" t="str">
        <f>MID(GeobyClient[[#This Row],[CLID]],3,7)</f>
        <v>CL22675</v>
      </c>
      <c r="E22" s="1" t="str">
        <f>RIGHT(GeobyClient[[#This Row],[CLID]],7)</f>
        <v>CL22675</v>
      </c>
      <c r="F22" s="1" t="b">
        <f>GeobyClient[[#This Row],[Right]]=GeobyClient[[#This Row],[Mid]]</f>
        <v>1</v>
      </c>
      <c r="G22" s="1" t="str">
        <f>VLOOKUP(GeobyClient[[#This Row],[GEOID]],GEONames[[GEOID]:[GEO NAME]],2,FALSE)</f>
        <v>LATAM</v>
      </c>
      <c r="K22"/>
    </row>
    <row r="23" spans="1:11" x14ac:dyDescent="0.2">
      <c r="A23" s="1" t="s">
        <v>82</v>
      </c>
      <c r="B23" s="1" t="s">
        <v>56</v>
      </c>
      <c r="C23" s="1">
        <f>LEN(GeobyClient[[#This Row],[CLID]])</f>
        <v>9</v>
      </c>
      <c r="D23" s="1" t="str">
        <f>MID(GeobyClient[[#This Row],[CLID]],3,7)</f>
        <v>CL83083</v>
      </c>
      <c r="E23" s="1" t="str">
        <f>RIGHT(GeobyClient[[#This Row],[CLID]],7)</f>
        <v>CL83083</v>
      </c>
      <c r="F23" s="1" t="b">
        <f>GeobyClient[[#This Row],[Right]]=GeobyClient[[#This Row],[Mid]]</f>
        <v>1</v>
      </c>
      <c r="G23" s="1" t="str">
        <f>VLOOKUP(GeobyClient[[#This Row],[GEOID]],GEONames[[GEOID]:[GEO NAME]],2,FALSE)</f>
        <v>APAC</v>
      </c>
      <c r="K23"/>
    </row>
    <row r="24" spans="1:11" x14ac:dyDescent="0.2">
      <c r="A24" s="1" t="s">
        <v>83</v>
      </c>
      <c r="B24" s="1" t="s">
        <v>55</v>
      </c>
      <c r="C24" s="1">
        <f>LEN(GeobyClient[[#This Row],[CLID]])</f>
        <v>9</v>
      </c>
      <c r="D24" s="1" t="str">
        <f>MID(GeobyClient[[#This Row],[CLID]],3,7)</f>
        <v>CL36191</v>
      </c>
      <c r="E24" s="1" t="str">
        <f>RIGHT(GeobyClient[[#This Row],[CLID]],7)</f>
        <v>CL36191</v>
      </c>
      <c r="F24" s="1" t="b">
        <f>GeobyClient[[#This Row],[Right]]=GeobyClient[[#This Row],[Mid]]</f>
        <v>1</v>
      </c>
      <c r="G24" s="1" t="str">
        <f>VLOOKUP(GeobyClient[[#This Row],[GEOID]],GEONames[[GEOID]:[GEO NAME]],2,FALSE)</f>
        <v>LATAM</v>
      </c>
      <c r="K24"/>
    </row>
    <row r="25" spans="1:11" x14ac:dyDescent="0.2">
      <c r="A25" s="1" t="s">
        <v>84</v>
      </c>
      <c r="B25" s="1" t="s">
        <v>55</v>
      </c>
      <c r="C25" s="1">
        <f>LEN(GeobyClient[[#This Row],[CLID]])</f>
        <v>9</v>
      </c>
      <c r="D25" s="1" t="str">
        <f>MID(GeobyClient[[#This Row],[CLID]],3,7)</f>
        <v>CL81431</v>
      </c>
      <c r="E25" s="1" t="str">
        <f>RIGHT(GeobyClient[[#This Row],[CLID]],7)</f>
        <v>CL81431</v>
      </c>
      <c r="F25" s="1" t="b">
        <f>GeobyClient[[#This Row],[Right]]=GeobyClient[[#This Row],[Mid]]</f>
        <v>1</v>
      </c>
      <c r="G25" s="1" t="str">
        <f>VLOOKUP(GeobyClient[[#This Row],[GEOID]],GEONames[[GEOID]:[GEO NAME]],2,FALSE)</f>
        <v>LATAM</v>
      </c>
      <c r="K25"/>
    </row>
    <row r="26" spans="1:11" x14ac:dyDescent="0.2">
      <c r="A26" s="1" t="s">
        <v>85</v>
      </c>
      <c r="B26" s="1" t="s">
        <v>56</v>
      </c>
      <c r="C26" s="1">
        <f>LEN(GeobyClient[[#This Row],[CLID]])</f>
        <v>9</v>
      </c>
      <c r="D26" s="1" t="str">
        <f>MID(GeobyClient[[#This Row],[CLID]],3,7)</f>
        <v>CL96487</v>
      </c>
      <c r="E26" s="1" t="str">
        <f>RIGHT(GeobyClient[[#This Row],[CLID]],7)</f>
        <v>CL96487</v>
      </c>
      <c r="F26" s="1" t="b">
        <f>GeobyClient[[#This Row],[Right]]=GeobyClient[[#This Row],[Mid]]</f>
        <v>1</v>
      </c>
      <c r="G26" s="1" t="str">
        <f>VLOOKUP(GeobyClient[[#This Row],[GEOID]],GEONames[[GEOID]:[GEO NAME]],2,FALSE)</f>
        <v>APAC</v>
      </c>
      <c r="K26"/>
    </row>
    <row r="27" spans="1:11" x14ac:dyDescent="0.2">
      <c r="A27" s="1" t="s">
        <v>86</v>
      </c>
      <c r="B27" s="1" t="s">
        <v>57</v>
      </c>
      <c r="C27" s="1">
        <f>LEN(GeobyClient[[#This Row],[CLID]])</f>
        <v>9</v>
      </c>
      <c r="D27" s="1" t="str">
        <f>MID(GeobyClient[[#This Row],[CLID]],3,7)</f>
        <v>CL52426</v>
      </c>
      <c r="E27" s="1" t="str">
        <f>RIGHT(GeobyClient[[#This Row],[CLID]],7)</f>
        <v>CL52426</v>
      </c>
      <c r="F27" s="1" t="b">
        <f>GeobyClient[[#This Row],[Right]]=GeobyClient[[#This Row],[Mid]]</f>
        <v>1</v>
      </c>
      <c r="G27" s="1" t="str">
        <f>VLOOKUP(GeobyClient[[#This Row],[GEOID]],GEONames[[GEOID]:[GEO NAME]],2,FALSE)</f>
        <v>NAM</v>
      </c>
      <c r="K27"/>
    </row>
    <row r="28" spans="1:11" x14ac:dyDescent="0.2">
      <c r="A28" s="1" t="s">
        <v>87</v>
      </c>
      <c r="B28" s="1" t="s">
        <v>57</v>
      </c>
      <c r="C28" s="1">
        <f>LEN(GeobyClient[[#This Row],[CLID]])</f>
        <v>9</v>
      </c>
      <c r="D28" s="1" t="str">
        <f>MID(GeobyClient[[#This Row],[CLID]],3,7)</f>
        <v>CL64939</v>
      </c>
      <c r="E28" s="1" t="str">
        <f>RIGHT(GeobyClient[[#This Row],[CLID]],7)</f>
        <v>CL64939</v>
      </c>
      <c r="F28" s="1" t="b">
        <f>GeobyClient[[#This Row],[Right]]=GeobyClient[[#This Row],[Mid]]</f>
        <v>1</v>
      </c>
      <c r="G28" s="1" t="str">
        <f>VLOOKUP(GeobyClient[[#This Row],[GEOID]],GEONames[[GEOID]:[GEO NAME]],2,FALSE)</f>
        <v>NAM</v>
      </c>
      <c r="K28"/>
    </row>
    <row r="29" spans="1:11" x14ac:dyDescent="0.2">
      <c r="A29" s="1" t="s">
        <v>88</v>
      </c>
      <c r="B29" s="1" t="s">
        <v>57</v>
      </c>
      <c r="C29" s="1">
        <f>LEN(GeobyClient[[#This Row],[CLID]])</f>
        <v>9</v>
      </c>
      <c r="D29" s="1" t="str">
        <f>MID(GeobyClient[[#This Row],[CLID]],3,7)</f>
        <v>CL50651</v>
      </c>
      <c r="E29" s="1" t="str">
        <f>RIGHT(GeobyClient[[#This Row],[CLID]],7)</f>
        <v>CL50651</v>
      </c>
      <c r="F29" s="1" t="b">
        <f>GeobyClient[[#This Row],[Right]]=GeobyClient[[#This Row],[Mid]]</f>
        <v>1</v>
      </c>
      <c r="G29" s="1" t="str">
        <f>VLOOKUP(GeobyClient[[#This Row],[GEOID]],GEONames[[GEOID]:[GEO NAME]],2,FALSE)</f>
        <v>NAM</v>
      </c>
      <c r="K29"/>
    </row>
    <row r="30" spans="1:11" x14ac:dyDescent="0.2">
      <c r="A30" s="1" t="s">
        <v>89</v>
      </c>
      <c r="B30" s="1" t="s">
        <v>57</v>
      </c>
      <c r="C30" s="1">
        <f>LEN(GeobyClient[[#This Row],[CLID]])</f>
        <v>9</v>
      </c>
      <c r="D30" s="1" t="str">
        <f>MID(GeobyClient[[#This Row],[CLID]],3,7)</f>
        <v>CL13213</v>
      </c>
      <c r="E30" s="1" t="str">
        <f>RIGHT(GeobyClient[[#This Row],[CLID]],7)</f>
        <v>CL13213</v>
      </c>
      <c r="F30" s="1" t="b">
        <f>GeobyClient[[#This Row],[Right]]=GeobyClient[[#This Row],[Mid]]</f>
        <v>1</v>
      </c>
      <c r="G30" s="1" t="str">
        <f>VLOOKUP(GeobyClient[[#This Row],[GEOID]],GEONames[[GEOID]:[GEO NAME]],2,FALSE)</f>
        <v>NAM</v>
      </c>
      <c r="K30"/>
    </row>
    <row r="31" spans="1:11" x14ac:dyDescent="0.2">
      <c r="A31" s="1" t="s">
        <v>90</v>
      </c>
      <c r="B31" s="1" t="s">
        <v>54</v>
      </c>
      <c r="C31" s="1">
        <f>LEN(GeobyClient[[#This Row],[CLID]])</f>
        <v>9</v>
      </c>
      <c r="D31" s="1" t="str">
        <f>MID(GeobyClient[[#This Row],[CLID]],3,7)</f>
        <v>CL90358</v>
      </c>
      <c r="E31" s="1" t="str">
        <f>RIGHT(GeobyClient[[#This Row],[CLID]],7)</f>
        <v>CL90358</v>
      </c>
      <c r="F31" s="1" t="b">
        <f>GeobyClient[[#This Row],[Right]]=GeobyClient[[#This Row],[Mid]]</f>
        <v>1</v>
      </c>
      <c r="G31" s="1" t="str">
        <f>VLOOKUP(GeobyClient[[#This Row],[GEOID]],GEONames[[GEOID]:[GEO NAME]],2,FALSE)</f>
        <v>EMEA</v>
      </c>
      <c r="K31"/>
    </row>
    <row r="32" spans="1:11" x14ac:dyDescent="0.2">
      <c r="A32" s="1" t="s">
        <v>91</v>
      </c>
      <c r="B32" s="1" t="s">
        <v>54</v>
      </c>
      <c r="C32" s="1">
        <f>LEN(GeobyClient[[#This Row],[CLID]])</f>
        <v>9</v>
      </c>
      <c r="D32" s="1" t="str">
        <f>MID(GeobyClient[[#This Row],[CLID]],3,7)</f>
        <v>CL71409</v>
      </c>
      <c r="E32" s="1" t="str">
        <f>RIGHT(GeobyClient[[#This Row],[CLID]],7)</f>
        <v>CL71409</v>
      </c>
      <c r="F32" s="1" t="b">
        <f>GeobyClient[[#This Row],[Right]]=GeobyClient[[#This Row],[Mid]]</f>
        <v>1</v>
      </c>
      <c r="G32" s="1" t="str">
        <f>VLOOKUP(GeobyClient[[#This Row],[GEOID]],GEONames[[GEOID]:[GEO NAME]],2,FALSE)</f>
        <v>EMEA</v>
      </c>
      <c r="K32"/>
    </row>
    <row r="33" spans="1:11" x14ac:dyDescent="0.2">
      <c r="A33" s="1" t="s">
        <v>92</v>
      </c>
      <c r="B33" s="1" t="s">
        <v>56</v>
      </c>
      <c r="C33" s="1">
        <f>LEN(GeobyClient[[#This Row],[CLID]])</f>
        <v>9</v>
      </c>
      <c r="D33" s="1" t="str">
        <f>MID(GeobyClient[[#This Row],[CLID]],3,7)</f>
        <v>CL24510</v>
      </c>
      <c r="E33" s="1" t="str">
        <f>RIGHT(GeobyClient[[#This Row],[CLID]],7)</f>
        <v>CL24510</v>
      </c>
      <c r="F33" s="1" t="b">
        <f>GeobyClient[[#This Row],[Right]]=GeobyClient[[#This Row],[Mid]]</f>
        <v>1</v>
      </c>
      <c r="G33" s="1" t="str">
        <f>VLOOKUP(GeobyClient[[#This Row],[GEOID]],GEONames[[GEOID]:[GEO NAME]],2,FALSE)</f>
        <v>APAC</v>
      </c>
      <c r="K33"/>
    </row>
    <row r="34" spans="1:11" x14ac:dyDescent="0.2">
      <c r="A34" s="1" t="s">
        <v>93</v>
      </c>
      <c r="B34" s="1" t="s">
        <v>56</v>
      </c>
      <c r="C34" s="1">
        <f>LEN(GeobyClient[[#This Row],[CLID]])</f>
        <v>9</v>
      </c>
      <c r="D34" s="1" t="str">
        <f>MID(GeobyClient[[#This Row],[CLID]],3,7)</f>
        <v>CL95487</v>
      </c>
      <c r="E34" s="1" t="str">
        <f>RIGHT(GeobyClient[[#This Row],[CLID]],7)</f>
        <v>CL95487</v>
      </c>
      <c r="F34" s="1" t="b">
        <f>GeobyClient[[#This Row],[Right]]=GeobyClient[[#This Row],[Mid]]</f>
        <v>1</v>
      </c>
      <c r="G34" s="1" t="str">
        <f>VLOOKUP(GeobyClient[[#This Row],[GEOID]],GEONames[[GEOID]:[GEO NAME]],2,FALSE)</f>
        <v>APAC</v>
      </c>
      <c r="K34"/>
    </row>
    <row r="35" spans="1:11" x14ac:dyDescent="0.2">
      <c r="A35" s="1" t="s">
        <v>94</v>
      </c>
      <c r="B35" s="1" t="s">
        <v>55</v>
      </c>
      <c r="C35" s="1">
        <f>LEN(GeobyClient[[#This Row],[CLID]])</f>
        <v>9</v>
      </c>
      <c r="D35" s="1" t="str">
        <f>MID(GeobyClient[[#This Row],[CLID]],3,7)</f>
        <v>CL23634</v>
      </c>
      <c r="E35" s="1" t="str">
        <f>RIGHT(GeobyClient[[#This Row],[CLID]],7)</f>
        <v>CL23634</v>
      </c>
      <c r="F35" s="1" t="b">
        <f>GeobyClient[[#This Row],[Right]]=GeobyClient[[#This Row],[Mid]]</f>
        <v>1</v>
      </c>
      <c r="G35" s="1" t="str">
        <f>VLOOKUP(GeobyClient[[#This Row],[GEOID]],GEONames[[GEOID]:[GEO NAME]],2,FALSE)</f>
        <v>LATAM</v>
      </c>
      <c r="K35"/>
    </row>
    <row r="36" spans="1:11" x14ac:dyDescent="0.2">
      <c r="A36" s="1" t="s">
        <v>95</v>
      </c>
      <c r="B36" s="1" t="s">
        <v>57</v>
      </c>
      <c r="C36" s="1">
        <f>LEN(GeobyClient[[#This Row],[CLID]])</f>
        <v>9</v>
      </c>
      <c r="D36" s="1" t="str">
        <f>MID(GeobyClient[[#This Row],[CLID]],3,7)</f>
        <v>CL50297</v>
      </c>
      <c r="E36" s="1" t="str">
        <f>RIGHT(GeobyClient[[#This Row],[CLID]],7)</f>
        <v>CL50297</v>
      </c>
      <c r="F36" s="1" t="b">
        <f>GeobyClient[[#This Row],[Right]]=GeobyClient[[#This Row],[Mid]]</f>
        <v>1</v>
      </c>
      <c r="G36" s="1" t="str">
        <f>VLOOKUP(GeobyClient[[#This Row],[GEOID]],GEONames[[GEOID]:[GEO NAME]],2,FALSE)</f>
        <v>NAM</v>
      </c>
      <c r="K36"/>
    </row>
    <row r="37" spans="1:11" x14ac:dyDescent="0.2">
      <c r="A37" s="1" t="s">
        <v>96</v>
      </c>
      <c r="B37" s="1" t="s">
        <v>56</v>
      </c>
      <c r="C37" s="1">
        <f>LEN(GeobyClient[[#This Row],[CLID]])</f>
        <v>9</v>
      </c>
      <c r="D37" s="1" t="str">
        <f>MID(GeobyClient[[#This Row],[CLID]],3,7)</f>
        <v>CL35993</v>
      </c>
      <c r="E37" s="1" t="str">
        <f>RIGHT(GeobyClient[[#This Row],[CLID]],7)</f>
        <v>CL35993</v>
      </c>
      <c r="F37" s="1" t="b">
        <f>GeobyClient[[#This Row],[Right]]=GeobyClient[[#This Row],[Mid]]</f>
        <v>1</v>
      </c>
      <c r="G37" s="1" t="str">
        <f>VLOOKUP(GeobyClient[[#This Row],[GEOID]],GEONames[[GEOID]:[GEO NAME]],2,FALSE)</f>
        <v>APAC</v>
      </c>
      <c r="K37"/>
    </row>
    <row r="38" spans="1:11" x14ac:dyDescent="0.2">
      <c r="A38" s="1" t="s">
        <v>97</v>
      </c>
      <c r="B38" s="1" t="s">
        <v>56</v>
      </c>
      <c r="C38" s="1">
        <f>LEN(GeobyClient[[#This Row],[CLID]])</f>
        <v>9</v>
      </c>
      <c r="D38" s="1" t="str">
        <f>MID(GeobyClient[[#This Row],[CLID]],3,7)</f>
        <v>CL60563</v>
      </c>
      <c r="E38" s="1" t="str">
        <f>RIGHT(GeobyClient[[#This Row],[CLID]],7)</f>
        <v>CL60563</v>
      </c>
      <c r="F38" s="1" t="b">
        <f>GeobyClient[[#This Row],[Right]]=GeobyClient[[#This Row],[Mid]]</f>
        <v>1</v>
      </c>
      <c r="G38" s="1" t="str">
        <f>VLOOKUP(GeobyClient[[#This Row],[GEOID]],GEONames[[GEOID]:[GEO NAME]],2,FALSE)</f>
        <v>APAC</v>
      </c>
      <c r="K38"/>
    </row>
    <row r="39" spans="1:11" x14ac:dyDescent="0.2">
      <c r="A39" s="1" t="s">
        <v>98</v>
      </c>
      <c r="B39" s="1" t="s">
        <v>55</v>
      </c>
      <c r="C39" s="1">
        <f>LEN(GeobyClient[[#This Row],[CLID]])</f>
        <v>9</v>
      </c>
      <c r="D39" s="1" t="str">
        <f>MID(GeobyClient[[#This Row],[CLID]],3,7)</f>
        <v>CL11420</v>
      </c>
      <c r="E39" s="1" t="str">
        <f>RIGHT(GeobyClient[[#This Row],[CLID]],7)</f>
        <v>CL11420</v>
      </c>
      <c r="F39" s="1" t="b">
        <f>GeobyClient[[#This Row],[Right]]=GeobyClient[[#This Row],[Mid]]</f>
        <v>1</v>
      </c>
      <c r="G39" s="1" t="str">
        <f>VLOOKUP(GeobyClient[[#This Row],[GEOID]],GEONames[[GEOID]:[GEO NAME]],2,FALSE)</f>
        <v>LATAM</v>
      </c>
      <c r="K39"/>
    </row>
    <row r="40" spans="1:11" x14ac:dyDescent="0.2">
      <c r="A40" s="1" t="s">
        <v>99</v>
      </c>
      <c r="B40" s="1" t="s">
        <v>54</v>
      </c>
      <c r="C40" s="1">
        <f>LEN(GeobyClient[[#This Row],[CLID]])</f>
        <v>9</v>
      </c>
      <c r="D40" s="1" t="str">
        <f>MID(GeobyClient[[#This Row],[CLID]],3,7)</f>
        <v>CL13257</v>
      </c>
      <c r="E40" s="1" t="str">
        <f>RIGHT(GeobyClient[[#This Row],[CLID]],7)</f>
        <v>CL13257</v>
      </c>
      <c r="F40" s="1" t="b">
        <f>GeobyClient[[#This Row],[Right]]=GeobyClient[[#This Row],[Mid]]</f>
        <v>1</v>
      </c>
      <c r="G40" s="1" t="str">
        <f>VLOOKUP(GeobyClient[[#This Row],[GEOID]],GEONames[[GEOID]:[GEO NAME]],2,FALSE)</f>
        <v>EMEA</v>
      </c>
      <c r="K40"/>
    </row>
    <row r="41" spans="1:11" x14ac:dyDescent="0.2">
      <c r="A41" s="1" t="s">
        <v>100</v>
      </c>
      <c r="B41" s="1" t="s">
        <v>57</v>
      </c>
      <c r="C41" s="1">
        <f>LEN(GeobyClient[[#This Row],[CLID]])</f>
        <v>9</v>
      </c>
      <c r="D41" s="1" t="str">
        <f>MID(GeobyClient[[#This Row],[CLID]],3,7)</f>
        <v>CL94846</v>
      </c>
      <c r="E41" s="1" t="str">
        <f>RIGHT(GeobyClient[[#This Row],[CLID]],7)</f>
        <v>CL94846</v>
      </c>
      <c r="F41" s="1" t="b">
        <f>GeobyClient[[#This Row],[Right]]=GeobyClient[[#This Row],[Mid]]</f>
        <v>1</v>
      </c>
      <c r="G41" s="1" t="str">
        <f>VLOOKUP(GeobyClient[[#This Row],[GEOID]],GEONames[[GEOID]:[GEO NAME]],2,FALSE)</f>
        <v>NAM</v>
      </c>
      <c r="K41"/>
    </row>
    <row r="42" spans="1:11" x14ac:dyDescent="0.2">
      <c r="A42" s="1" t="s">
        <v>101</v>
      </c>
      <c r="B42" s="1" t="s">
        <v>54</v>
      </c>
      <c r="C42" s="1">
        <f>LEN(GeobyClient[[#This Row],[CLID]])</f>
        <v>9</v>
      </c>
      <c r="D42" s="1" t="str">
        <f>MID(GeobyClient[[#This Row],[CLID]],3,7)</f>
        <v>CL87149</v>
      </c>
      <c r="E42" s="1" t="str">
        <f>RIGHT(GeobyClient[[#This Row],[CLID]],7)</f>
        <v>CL87149</v>
      </c>
      <c r="F42" s="1" t="b">
        <f>GeobyClient[[#This Row],[Right]]=GeobyClient[[#This Row],[Mid]]</f>
        <v>1</v>
      </c>
      <c r="G42" s="1" t="str">
        <f>VLOOKUP(GeobyClient[[#This Row],[GEOID]],GEONames[[GEOID]:[GEO NAME]],2,FALSE)</f>
        <v>EMEA</v>
      </c>
      <c r="K42"/>
    </row>
    <row r="43" spans="1:11" x14ac:dyDescent="0.2">
      <c r="A43" s="1" t="s">
        <v>102</v>
      </c>
      <c r="B43" s="1" t="s">
        <v>55</v>
      </c>
      <c r="C43" s="1">
        <f>LEN(GeobyClient[[#This Row],[CLID]])</f>
        <v>9</v>
      </c>
      <c r="D43" s="1" t="str">
        <f>MID(GeobyClient[[#This Row],[CLID]],3,7)</f>
        <v>CL49900</v>
      </c>
      <c r="E43" s="1" t="str">
        <f>RIGHT(GeobyClient[[#This Row],[CLID]],7)</f>
        <v>CL49900</v>
      </c>
      <c r="F43" s="1" t="b">
        <f>GeobyClient[[#This Row],[Right]]=GeobyClient[[#This Row],[Mid]]</f>
        <v>1</v>
      </c>
      <c r="G43" s="1" t="str">
        <f>VLOOKUP(GeobyClient[[#This Row],[GEOID]],GEONames[[GEOID]:[GEO NAME]],2,FALSE)</f>
        <v>LATAM</v>
      </c>
      <c r="K43"/>
    </row>
    <row r="44" spans="1:11" x14ac:dyDescent="0.2">
      <c r="A44" s="1" t="s">
        <v>103</v>
      </c>
      <c r="B44" s="1" t="s">
        <v>54</v>
      </c>
      <c r="C44" s="1">
        <f>LEN(GeobyClient[[#This Row],[CLID]])</f>
        <v>9</v>
      </c>
      <c r="D44" s="1" t="str">
        <f>MID(GeobyClient[[#This Row],[CLID]],3,7)</f>
        <v>CL29380</v>
      </c>
      <c r="E44" s="1" t="str">
        <f>RIGHT(GeobyClient[[#This Row],[CLID]],7)</f>
        <v>CL29380</v>
      </c>
      <c r="F44" s="1" t="b">
        <f>GeobyClient[[#This Row],[Right]]=GeobyClient[[#This Row],[Mid]]</f>
        <v>1</v>
      </c>
      <c r="G44" s="1" t="str">
        <f>VLOOKUP(GeobyClient[[#This Row],[GEOID]],GEONames[[GEOID]:[GEO NAME]],2,FALSE)</f>
        <v>EMEA</v>
      </c>
      <c r="K44"/>
    </row>
    <row r="45" spans="1:11" x14ac:dyDescent="0.2">
      <c r="A45" s="1" t="s">
        <v>104</v>
      </c>
      <c r="B45" s="1" t="s">
        <v>55</v>
      </c>
      <c r="C45" s="1">
        <f>LEN(GeobyClient[[#This Row],[CLID]])</f>
        <v>9</v>
      </c>
      <c r="D45" s="1" t="str">
        <f>MID(GeobyClient[[#This Row],[CLID]],3,7)</f>
        <v>CL37879</v>
      </c>
      <c r="E45" s="1" t="str">
        <f>RIGHT(GeobyClient[[#This Row],[CLID]],7)</f>
        <v>CL37879</v>
      </c>
      <c r="F45" s="1" t="b">
        <f>GeobyClient[[#This Row],[Right]]=GeobyClient[[#This Row],[Mid]]</f>
        <v>1</v>
      </c>
      <c r="G45" s="1" t="str">
        <f>VLOOKUP(GeobyClient[[#This Row],[GEOID]],GEONames[[GEOID]:[GEO NAME]],2,FALSE)</f>
        <v>LATAM</v>
      </c>
      <c r="K45"/>
    </row>
    <row r="46" spans="1:11" x14ac:dyDescent="0.2">
      <c r="A46" s="1" t="s">
        <v>105</v>
      </c>
      <c r="B46" s="1" t="s">
        <v>56</v>
      </c>
      <c r="C46" s="1">
        <f>LEN(GeobyClient[[#This Row],[CLID]])</f>
        <v>9</v>
      </c>
      <c r="D46" s="1" t="str">
        <f>MID(GeobyClient[[#This Row],[CLID]],3,7)</f>
        <v>CL55399</v>
      </c>
      <c r="E46" s="1" t="str">
        <f>RIGHT(GeobyClient[[#This Row],[CLID]],7)</f>
        <v>CL55399</v>
      </c>
      <c r="F46" s="1" t="b">
        <f>GeobyClient[[#This Row],[Right]]=GeobyClient[[#This Row],[Mid]]</f>
        <v>1</v>
      </c>
      <c r="G46" s="1" t="str">
        <f>VLOOKUP(GeobyClient[[#This Row],[GEOID]],GEONames[[GEOID]:[GEO NAME]],2,FALSE)</f>
        <v>APAC</v>
      </c>
      <c r="K46"/>
    </row>
    <row r="47" spans="1:11" x14ac:dyDescent="0.2">
      <c r="A47" s="1" t="s">
        <v>106</v>
      </c>
      <c r="B47" s="1" t="s">
        <v>56</v>
      </c>
      <c r="C47" s="1">
        <f>LEN(GeobyClient[[#This Row],[CLID]])</f>
        <v>9</v>
      </c>
      <c r="D47" s="1" t="str">
        <f>MID(GeobyClient[[#This Row],[CLID]],3,7)</f>
        <v>CL44634</v>
      </c>
      <c r="E47" s="1" t="str">
        <f>RIGHT(GeobyClient[[#This Row],[CLID]],7)</f>
        <v>CL44634</v>
      </c>
      <c r="F47" s="1" t="b">
        <f>GeobyClient[[#This Row],[Right]]=GeobyClient[[#This Row],[Mid]]</f>
        <v>1</v>
      </c>
      <c r="G47" s="1" t="str">
        <f>VLOOKUP(GeobyClient[[#This Row],[GEOID]],GEONames[[GEOID]:[GEO NAME]],2,FALSE)</f>
        <v>APAC</v>
      </c>
      <c r="K47"/>
    </row>
    <row r="48" spans="1:11" x14ac:dyDescent="0.2">
      <c r="A48" s="1" t="s">
        <v>107</v>
      </c>
      <c r="B48" s="1" t="s">
        <v>55</v>
      </c>
      <c r="C48" s="1">
        <f>LEN(GeobyClient[[#This Row],[CLID]])</f>
        <v>9</v>
      </c>
      <c r="D48" s="1" t="str">
        <f>MID(GeobyClient[[#This Row],[CLID]],3,7)</f>
        <v>CL67438</v>
      </c>
      <c r="E48" s="1" t="str">
        <f>RIGHT(GeobyClient[[#This Row],[CLID]],7)</f>
        <v>CL67438</v>
      </c>
      <c r="F48" s="1" t="b">
        <f>GeobyClient[[#This Row],[Right]]=GeobyClient[[#This Row],[Mid]]</f>
        <v>1</v>
      </c>
      <c r="G48" s="1" t="str">
        <f>VLOOKUP(GeobyClient[[#This Row],[GEOID]],GEONames[[GEOID]:[GEO NAME]],2,FALSE)</f>
        <v>LATAM</v>
      </c>
      <c r="K48"/>
    </row>
    <row r="49" spans="1:11" x14ac:dyDescent="0.2">
      <c r="A49" s="1" t="s">
        <v>108</v>
      </c>
      <c r="B49" s="1" t="s">
        <v>56</v>
      </c>
      <c r="C49" s="1">
        <f>LEN(GeobyClient[[#This Row],[CLID]])</f>
        <v>9</v>
      </c>
      <c r="D49" s="1" t="str">
        <f>MID(GeobyClient[[#This Row],[CLID]],3,7)</f>
        <v>CL79103</v>
      </c>
      <c r="E49" s="1" t="str">
        <f>RIGHT(GeobyClient[[#This Row],[CLID]],7)</f>
        <v>CL79103</v>
      </c>
      <c r="F49" s="1" t="b">
        <f>GeobyClient[[#This Row],[Right]]=GeobyClient[[#This Row],[Mid]]</f>
        <v>1</v>
      </c>
      <c r="G49" s="1" t="str">
        <f>VLOOKUP(GeobyClient[[#This Row],[GEOID]],GEONames[[GEOID]:[GEO NAME]],2,FALSE)</f>
        <v>APAC</v>
      </c>
      <c r="K49"/>
    </row>
    <row r="50" spans="1:11" x14ac:dyDescent="0.2">
      <c r="A50" s="1" t="s">
        <v>109</v>
      </c>
      <c r="B50" s="1" t="s">
        <v>56</v>
      </c>
      <c r="C50" s="1">
        <f>LEN(GeobyClient[[#This Row],[CLID]])</f>
        <v>9</v>
      </c>
      <c r="D50" s="1" t="str">
        <f>MID(GeobyClient[[#This Row],[CLID]],3,7)</f>
        <v>CL99768</v>
      </c>
      <c r="E50" s="1" t="str">
        <f>RIGHT(GeobyClient[[#This Row],[CLID]],7)</f>
        <v>CL99768</v>
      </c>
      <c r="F50" s="1" t="b">
        <f>GeobyClient[[#This Row],[Right]]=GeobyClient[[#This Row],[Mid]]</f>
        <v>1</v>
      </c>
      <c r="G50" s="1" t="str">
        <f>VLOOKUP(GeobyClient[[#This Row],[GEOID]],GEONames[[GEOID]:[GEO NAME]],2,FALSE)</f>
        <v>APAC</v>
      </c>
      <c r="K50"/>
    </row>
    <row r="51" spans="1:11" x14ac:dyDescent="0.2">
      <c r="A51" s="1" t="s">
        <v>110</v>
      </c>
      <c r="B51" s="1" t="s">
        <v>55</v>
      </c>
      <c r="C51" s="1">
        <f>LEN(GeobyClient[[#This Row],[CLID]])</f>
        <v>9</v>
      </c>
      <c r="D51" s="1" t="str">
        <f>MID(GeobyClient[[#This Row],[CLID]],3,7)</f>
        <v>CL28683</v>
      </c>
      <c r="E51" s="1" t="str">
        <f>RIGHT(GeobyClient[[#This Row],[CLID]],7)</f>
        <v>CL28683</v>
      </c>
      <c r="F51" s="1" t="b">
        <f>GeobyClient[[#This Row],[Right]]=GeobyClient[[#This Row],[Mid]]</f>
        <v>1</v>
      </c>
      <c r="G51" s="1" t="str">
        <f>VLOOKUP(GeobyClient[[#This Row],[GEOID]],GEONames[[GEOID]:[GEO NAME]],2,FALSE)</f>
        <v>LATAM</v>
      </c>
      <c r="K51"/>
    </row>
    <row r="52" spans="1:11" x14ac:dyDescent="0.2">
      <c r="A52" s="1" t="s">
        <v>111</v>
      </c>
      <c r="B52" s="1" t="s">
        <v>56</v>
      </c>
      <c r="C52" s="1">
        <f>LEN(GeobyClient[[#This Row],[CLID]])</f>
        <v>9</v>
      </c>
      <c r="D52" s="1" t="str">
        <f>MID(GeobyClient[[#This Row],[CLID]],3,7)</f>
        <v>CL99496</v>
      </c>
      <c r="E52" s="1" t="str">
        <f>RIGHT(GeobyClient[[#This Row],[CLID]],7)</f>
        <v>CL99496</v>
      </c>
      <c r="F52" s="1" t="b">
        <f>GeobyClient[[#This Row],[Right]]=GeobyClient[[#This Row],[Mid]]</f>
        <v>1</v>
      </c>
      <c r="G52" s="1" t="str">
        <f>VLOOKUP(GeobyClient[[#This Row],[GEOID]],GEONames[[GEOID]:[GEO NAME]],2,FALSE)</f>
        <v>APAC</v>
      </c>
      <c r="K52"/>
    </row>
    <row r="53" spans="1:11" x14ac:dyDescent="0.2">
      <c r="A53" s="1" t="s">
        <v>112</v>
      </c>
      <c r="B53" s="1" t="s">
        <v>54</v>
      </c>
      <c r="C53" s="1">
        <f>LEN(GeobyClient[[#This Row],[CLID]])</f>
        <v>9</v>
      </c>
      <c r="D53" s="1" t="str">
        <f>MID(GeobyClient[[#This Row],[CLID]],3,7)</f>
        <v>CL92654</v>
      </c>
      <c r="E53" s="1" t="str">
        <f>RIGHT(GeobyClient[[#This Row],[CLID]],7)</f>
        <v>CL92654</v>
      </c>
      <c r="F53" s="1" t="b">
        <f>GeobyClient[[#This Row],[Right]]=GeobyClient[[#This Row],[Mid]]</f>
        <v>1</v>
      </c>
      <c r="G53" s="1" t="str">
        <f>VLOOKUP(GeobyClient[[#This Row],[GEOID]],GEONames[[GEOID]:[GEO NAME]],2,FALSE)</f>
        <v>EMEA</v>
      </c>
      <c r="K53"/>
    </row>
    <row r="54" spans="1:11" x14ac:dyDescent="0.2">
      <c r="A54" s="1" t="s">
        <v>113</v>
      </c>
      <c r="B54" s="1" t="s">
        <v>56</v>
      </c>
      <c r="C54" s="1">
        <f>LEN(GeobyClient[[#This Row],[CLID]])</f>
        <v>9</v>
      </c>
      <c r="D54" s="1" t="str">
        <f>MID(GeobyClient[[#This Row],[CLID]],3,7)</f>
        <v>CL82440</v>
      </c>
      <c r="E54" s="1" t="str">
        <f>RIGHT(GeobyClient[[#This Row],[CLID]],7)</f>
        <v>CL82440</v>
      </c>
      <c r="F54" s="1" t="b">
        <f>GeobyClient[[#This Row],[Right]]=GeobyClient[[#This Row],[Mid]]</f>
        <v>1</v>
      </c>
      <c r="G54" s="1" t="str">
        <f>VLOOKUP(GeobyClient[[#This Row],[GEOID]],GEONames[[GEOID]:[GEO NAME]],2,FALSE)</f>
        <v>APAC</v>
      </c>
      <c r="K54"/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3ADB6A-08FE-46D4-BE5D-7E09D64C29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Email</vt:lpstr>
      <vt:lpstr>Pivot</vt:lpstr>
      <vt:lpstr>Summary</vt:lpstr>
      <vt:lpstr>Volume Data</vt:lpstr>
      <vt:lpstr>Geo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Brattin</dc:creator>
  <cp:lastModifiedBy>user</cp:lastModifiedBy>
  <cp:lastPrinted>2023-08-07T08:17:48Z</cp:lastPrinted>
  <dcterms:created xsi:type="dcterms:W3CDTF">2009-09-15T21:43:27Z</dcterms:created>
  <dcterms:modified xsi:type="dcterms:W3CDTF">2023-08-21T20:14:41Z</dcterms:modified>
</cp:coreProperties>
</file>